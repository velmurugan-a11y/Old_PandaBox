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890" windowHeight="7260"/>
  </bookViews>
  <sheets>
    <sheet name="BOM" sheetId="1" r:id="rId1"/>
  </sheets>
  <externalReferences>
    <externalReference r:id="rId2"/>
  </externalReferences>
  <definedNames>
    <definedName name="_xlnm._FilterDatabase" localSheetId="0" hidden="1">BOM!$A$2:$G$82</definedName>
    <definedName name="_xlnm.Print_Area" localSheetId="0">BOM!$A$1:$G$82</definedName>
  </definedNames>
  <calcPr calcId="144525"/>
</workbook>
</file>

<file path=xl/comments1.xml><?xml version="1.0" encoding="utf-8"?>
<comments xmlns="http://schemas.openxmlformats.org/spreadsheetml/2006/main">
  <authors>
    <author>Administrator</author>
  </authors>
  <commentList>
    <comment ref="E4" authorId="0">
      <text>
        <r>
          <rPr>
            <b/>
            <sz val="9"/>
            <rFont val="宋体"/>
            <charset val="134"/>
          </rPr>
          <t>Administrator:</t>
        </r>
        <r>
          <rPr>
            <sz val="9"/>
            <rFont val="宋体"/>
            <charset val="134"/>
          </rPr>
          <t xml:space="preserve">
新增加物料</t>
        </r>
      </text>
    </comment>
    <comment ref="E7" authorId="0">
      <text>
        <r>
          <rPr>
            <b/>
            <sz val="9"/>
            <rFont val="宋体"/>
            <charset val="134"/>
          </rPr>
          <t>Administrator:</t>
        </r>
        <r>
          <rPr>
            <sz val="9"/>
            <rFont val="宋体"/>
            <charset val="134"/>
          </rPr>
          <t xml:space="preserve">
新增加物料</t>
        </r>
      </text>
    </comment>
    <comment ref="E19" authorId="0">
      <text>
        <r>
          <rPr>
            <b/>
            <sz val="9"/>
            <rFont val="宋体"/>
            <charset val="134"/>
          </rPr>
          <t>Administrator:</t>
        </r>
        <r>
          <rPr>
            <sz val="9"/>
            <rFont val="宋体"/>
            <charset val="134"/>
          </rPr>
          <t xml:space="preserve">
新增加物料</t>
        </r>
      </text>
    </comment>
    <comment ref="D29" authorId="0">
      <text>
        <r>
          <rPr>
            <b/>
            <sz val="9"/>
            <rFont val="宋体"/>
            <charset val="134"/>
          </rPr>
          <t>Administrator:</t>
        </r>
        <r>
          <rPr>
            <sz val="9"/>
            <rFont val="宋体"/>
            <charset val="134"/>
          </rPr>
          <t xml:space="preserve">
来料是M档20%</t>
        </r>
      </text>
    </comment>
    <comment ref="E57" authorId="0">
      <text>
        <r>
          <rPr>
            <b/>
            <sz val="9"/>
            <rFont val="宋体"/>
            <charset val="134"/>
          </rPr>
          <t>Administrator:</t>
        </r>
        <r>
          <rPr>
            <sz val="9"/>
            <rFont val="宋体"/>
            <charset val="134"/>
          </rPr>
          <t xml:space="preserve">
新增加物料</t>
        </r>
      </text>
    </comment>
    <comment ref="E62" authorId="0">
      <text>
        <r>
          <rPr>
            <b/>
            <sz val="9"/>
            <rFont val="宋体"/>
            <charset val="134"/>
          </rPr>
          <t>Administrator:</t>
        </r>
        <r>
          <rPr>
            <sz val="9"/>
            <rFont val="宋体"/>
            <charset val="134"/>
          </rPr>
          <t xml:space="preserve">
新增加物料</t>
        </r>
      </text>
    </comment>
  </commentList>
</comments>
</file>

<file path=xl/sharedStrings.xml><?xml version="1.0" encoding="utf-8"?>
<sst xmlns="http://schemas.openxmlformats.org/spreadsheetml/2006/main" count="303" uniqueCount="245">
  <si>
    <t>XBOX_V2.5 主板电子BOM</t>
  </si>
  <si>
    <t>序号</t>
  </si>
  <si>
    <t xml:space="preserve">materiel Name   </t>
  </si>
  <si>
    <t>物料描述</t>
  </si>
  <si>
    <t>物料编码(part number)</t>
  </si>
  <si>
    <t>位号</t>
  </si>
  <si>
    <t>用量</t>
  </si>
  <si>
    <t>数量/PCS</t>
  </si>
  <si>
    <t>电阻</t>
  </si>
  <si>
    <t>RES,0Ω,±5%,1/16W,0402,0402WGJ0TCE,ROHS,UniOhm</t>
  </si>
  <si>
    <t>0402WGJ0000TCE</t>
  </si>
  <si>
    <t>L2 L3 L4 L800 R3 R39 R41 R45 R53 R63 R64 R65 R66 R69 R72 R76 R77 R78 R79 R80 R81 R82 R83 R84 R85 R86 R87 R92 R94 R115 R120 R605 R606 R607 R11</t>
  </si>
  <si>
    <t>RES,47Ω,±5%,1/16W,0402,0402WGJ040TCE,ROHS,UniOhm</t>
  </si>
  <si>
    <t>0402WGJ0470TCE</t>
  </si>
  <si>
    <t>R25 R28 R229 R230</t>
  </si>
  <si>
    <t>RES,200Ω,±5%,1/16W,0402,0402WGJ0201TCE,ROHS,UniOhm</t>
  </si>
  <si>
    <t>0402WGJ0201TCE</t>
  </si>
  <si>
    <t>R7 R12 R30 R31 R32 R37 R70 R74 R75 R90 R91 R236</t>
  </si>
  <si>
    <t>RES,1KΩ,±5%,1/16W,0402,0402WGJ1001TCE,ROHS,UniOhm</t>
  </si>
  <si>
    <t>0402WGJ0102TCE</t>
  </si>
  <si>
    <t>R15 R16 R17 R19 R35 R43 R46 R47 R49 R51 R52 R56 R59 R73 R95 R96 R97 R105 R112 R117 R124 R130 R134 R400</t>
  </si>
  <si>
    <t>RES,3.3KΩ,±5%,1/16W,0402,0402WGJ3301TCE,ROHS,UniOhm</t>
  </si>
  <si>
    <t>0402WGJ0332TCE</t>
  </si>
  <si>
    <t>R71</t>
  </si>
  <si>
    <t>RES,4.7KΩ,±5%,1/16W,0402,0402WGJ4701TCE,ROHS,UniOhm</t>
  </si>
  <si>
    <t>0402WGJ0472TCE</t>
  </si>
  <si>
    <t>R23 R61 R62 R601 R603</t>
  </si>
  <si>
    <t>RES,10KΩ,±5%,1/16W,0402,0402WGJ0103TCE,ROHS,UniOhm</t>
  </si>
  <si>
    <t>0402WGJ0103TCE</t>
  </si>
  <si>
    <t>R2 R9 R18 R21 R24 R26 R36 R42 R44 R48 R50 R54 R57 R58 R60 R99 R101 R102 R103 R104 R106 R107 R108 R109 R110 R111 R114 R116 R118 R121 R125 R128 R129 R132 R133 R145 R172 R173 R231 R252 R604</t>
  </si>
  <si>
    <t>RES,100KΩ,±5%,1/16W,0402,0402WGJ1003TCE,ROHS,UniOhm</t>
  </si>
  <si>
    <t>0402WGJ0104TCE</t>
  </si>
  <si>
    <t>R4 R14 R98 R100 R113 R1</t>
  </si>
  <si>
    <t>RES,1MΩ,±5%,1/16W,0402,0402WGJ0105TCE,ROHS,UniOhm</t>
  </si>
  <si>
    <t>0402WGJ0105TCE</t>
  </si>
  <si>
    <t>R55 R123</t>
  </si>
  <si>
    <t>RES,1.2KΩ,±1%,1/16W,0402,0402WGF1201TCE,ROHS,UniOhm</t>
  </si>
  <si>
    <t>0402WGF1201TCE</t>
  </si>
  <si>
    <t>R171</t>
  </si>
  <si>
    <t>RES,6.8KΩ,±1%,1/16W,0402,0402WGF6801TCE,ROHS,UniOhm</t>
  </si>
  <si>
    <t>0402WGF6801TCE</t>
  </si>
  <si>
    <t>R170</t>
  </si>
  <si>
    <t>RES,10KΩ,±1%,1/16W,0402,0402WGF1002TCE,ROHS,UniOhm</t>
  </si>
  <si>
    <t>0402WGF1002TCE</t>
  </si>
  <si>
    <t>R314</t>
  </si>
  <si>
    <t>RES,36KΩ,±1%,1/16W,0402,0402WGF3602TCE,ROHS,UniOhm</t>
  </si>
  <si>
    <t>0402WGF3602TCE</t>
  </si>
  <si>
    <t>R6 R13 R202 R205</t>
  </si>
  <si>
    <t>RES,100KΩ,±1%,1/16W,0402,0402WGF1003TCE,ROHS,UniOhm</t>
  </si>
  <si>
    <t>0402WGF1003TCE</t>
  </si>
  <si>
    <t>R312 R313 R315</t>
  </si>
  <si>
    <t>RES,200KΩ,±1%,1/16W,0402,0402WGF2003TCE,ROHS,UniOhm</t>
  </si>
  <si>
    <t>0402WGF2003TCE</t>
  </si>
  <si>
    <t>R5 R203</t>
  </si>
  <si>
    <t>电容</t>
  </si>
  <si>
    <t>CAP,10pF,±5%,50V,0402,NPO,0402N100J500CT,ROHS,WALSIN</t>
  </si>
  <si>
    <t>C0402COG100J500NTB</t>
  </si>
  <si>
    <t>C54 C56 C607 C36 C37 C57 C84 C117 C118</t>
  </si>
  <si>
    <t>CAP,15pF,±5%,50V,0402,NPO,0402N150J500CT,ROHS,WALSIN</t>
  </si>
  <si>
    <t>C0402COG150J500NTB</t>
  </si>
  <si>
    <t>C29 C58 C62</t>
  </si>
  <si>
    <t>CAP,33pF,±5%,50V,0402,NPO,0402N330J500CT,ROHS,WALSIN</t>
  </si>
  <si>
    <t>C0402C0G330J500NTB</t>
  </si>
  <si>
    <t>C605 C614 C615 C616 C617</t>
  </si>
  <si>
    <t>CAP,100pF,±5%,50V,0402,C0G,CL05C101JB5NNNC,ROHS,SAMSNUG</t>
  </si>
  <si>
    <t>C0402COG101J500NTB</t>
  </si>
  <si>
    <t>C41 C3 C4</t>
  </si>
  <si>
    <t>CAP,330pF,±10%,50V,0402,X7R,CC0402KxX7R9xx331,RoHS,YAGEO</t>
  </si>
  <si>
    <t>V331K0402X7R500NBT</t>
  </si>
  <si>
    <t>C25 C26 C42 C43 C70 C71 C211 C506 C507</t>
  </si>
  <si>
    <t>CAP,10nF,±10%,50V,0402,X7R,CC0402KRX7R9BB103,RoHS,YAGEO</t>
  </si>
  <si>
    <t>C0402X7R103K500NTB</t>
  </si>
  <si>
    <t>C14 C39 C5 C19 C306 C414 C420</t>
  </si>
  <si>
    <t>CAP,1nF,±10%,50V,0402,X7R,CC0402KRX7R9BB102,RoHS,YAGEO</t>
  </si>
  <si>
    <t>C0402X7R102K500NTB</t>
  </si>
  <si>
    <t>C60 C63</t>
  </si>
  <si>
    <t>CAP,0.1UF,±10%,16V,0402,X7R,CL05B104KO5NNNC,ROHS,SAMSNUG</t>
  </si>
  <si>
    <t>C0402X7R104K160NTB</t>
  </si>
  <si>
    <t>C34 C35 C319 C419 C2 C7 C15 C18 C20 C21 C22 C23 C24 C30 C31 C32 C33 C38 C65 C66 C67 C68 C101 C102 C103 C104 C105 C113 C114 C212 C303 C304 C501 C502 C503 C504 C505 C603 C611 C618 C807</t>
  </si>
  <si>
    <t>CAP,1uF,10%,10V,0402,X5R,CL05A105KP5NNNC, ROHS,SAMSNUG</t>
  </si>
  <si>
    <t>CL05A105KP5NNNC</t>
  </si>
  <si>
    <t>C55 C59 C61 C110</t>
  </si>
  <si>
    <t>CAP,15pF,±5%,50V,0603,NPO,0603N150J500CT,RoHS,WALSIN</t>
  </si>
  <si>
    <t>CC0603JRNPO9BN150</t>
  </si>
  <si>
    <t>C413 C418</t>
  </si>
  <si>
    <t>CAP,0.1uF,±10%,50V,0603,X7R,0603B104K500CT,ROHS,WALSIN</t>
  </si>
  <si>
    <t>CL10B104KB8NNNC</t>
  </si>
  <si>
    <t>C209 C201 C207 C412 C417</t>
  </si>
  <si>
    <t>CAP,10uF,±10%,10V,0603,X5R,CL10A106KP8NNNC,ROHS,SAMSNUG</t>
  </si>
  <si>
    <t>CL10A106MP8NNNC</t>
  </si>
  <si>
    <t>C8 C9 C16 C17 C302 C305</t>
  </si>
  <si>
    <t>CAP,10uF,±10%,10V,0805,X5R,CL21A106KPFNNNE,RoHS,SAMSUN</t>
  </si>
  <si>
    <t>CL21A106KOQNNNE</t>
  </si>
  <si>
    <t>C200 C411 C416</t>
  </si>
  <si>
    <t>CAP,10uF,±10%,50V,X7R,1210,UMK325B7106KMQP, ROHS,TAIYO</t>
  </si>
  <si>
    <t>UMK325AB7106KM-P</t>
  </si>
  <si>
    <t>C6 C40</t>
  </si>
  <si>
    <t>TAN CAP,100uF,±20%,6.3V,B型,-55℃～+125℃,TAJB107M006R,AVX</t>
  </si>
  <si>
    <t>TAJB107M006RNJ</t>
  </si>
  <si>
    <t>C13 C27 C28</t>
  </si>
  <si>
    <t>铝电解</t>
  </si>
  <si>
    <t>铝电解电容,100uF/50V,±20%,CK1H101M-CRF10,尺寸：8x10.2mm,ROHS,Fujicon</t>
  </si>
  <si>
    <t>100UF ±20% 50V 8*10.5</t>
  </si>
  <si>
    <t>C1</t>
  </si>
  <si>
    <t>磁珠</t>
  </si>
  <si>
    <t>磁珠,600欧/100MHZ,100mA,0402,GZ1005D601TF</t>
  </si>
  <si>
    <t>CBM100505U601T</t>
  </si>
  <si>
    <t>B1 B2 B3 B4 B5 B6 B102 B104 L1</t>
  </si>
  <si>
    <t>电感</t>
  </si>
  <si>
    <t>功率电感, 15UH, SWPA6045S150MT</t>
  </si>
  <si>
    <t>SWPA6045S150MT</t>
  </si>
  <si>
    <t>L100</t>
  </si>
  <si>
    <t>晶体</t>
  </si>
  <si>
    <t>晶振,32.768KHZ,12.5PF,±20PPm,FC-135</t>
  </si>
  <si>
    <t>SF32WK32768D31T002</t>
  </si>
  <si>
    <t>X1</t>
  </si>
  <si>
    <t>无源晶振,12MHz,±10ppm,负载电容20PF,SMD3225,RoHS</t>
  </si>
  <si>
    <t>X101</t>
  </si>
  <si>
    <t>无源晶振,24MHz,±10ppm,负载电容12PF,3.2*2.5,RoHS</t>
  </si>
  <si>
    <t>3225 24M</t>
  </si>
  <si>
    <t>X2</t>
  </si>
  <si>
    <t>保险丝</t>
  </si>
  <si>
    <t>熔断型保险丝,12 113.2,1206,2A,ROHS,brightking</t>
  </si>
  <si>
    <t>12H 2A 63V</t>
  </si>
  <si>
    <t>F1</t>
  </si>
  <si>
    <t>TVS管</t>
  </si>
  <si>
    <t>TVS，SD024C，SOD323</t>
  </si>
  <si>
    <t>VCTB24V33D3YW</t>
  </si>
  <si>
    <t>D301</t>
  </si>
  <si>
    <t>TVS,SMBJ36A,SMB,ROHS，brightking</t>
  </si>
  <si>
    <t>SMBJ36A</t>
  </si>
  <si>
    <t>D501</t>
  </si>
  <si>
    <t>TVSPT3C4V5B，SOD-323,ROHS,PulseTake Devices</t>
  </si>
  <si>
    <t>VCTB4V5300D3X</t>
  </si>
  <si>
    <t>D24</t>
  </si>
  <si>
    <t>TVS，NUP2105L，SOT23-3,ROHS</t>
  </si>
  <si>
    <t>NUP2105L</t>
  </si>
  <si>
    <t>D4 D5 D13</t>
  </si>
  <si>
    <t>ESD,5V单向，ESD9L5.0ST5G</t>
  </si>
  <si>
    <t>VCTU5V0P6D8F</t>
  </si>
  <si>
    <t>ESD5 ESD6 ESD7 ESD8 ESD9 ESD14 ESD15 ESD16 ESD17 ESD500 ESD501</t>
  </si>
  <si>
    <t>二极管</t>
  </si>
  <si>
    <t>二极管,1N4148WS,100V/150mA,SOD-323</t>
  </si>
  <si>
    <t>1N4148WS</t>
  </si>
  <si>
    <t>D6 D9 D10 D11 D12 D14 D15 D17 D18 D21</t>
  </si>
  <si>
    <t>钳位二极管,DAN217U，硅，SOT-323，RoHS</t>
  </si>
  <si>
    <t>DAN217U</t>
  </si>
  <si>
    <t>D302</t>
  </si>
  <si>
    <t>整流二极管,SM360A,DO-214AC(SMA),ROHS</t>
  </si>
  <si>
    <t>SM360A SMA</t>
  </si>
  <si>
    <t>D1 D3 D23</t>
  </si>
  <si>
    <t>二极管, SS34, SMB, ROHS</t>
  </si>
  <si>
    <t>SS34 SMB</t>
  </si>
  <si>
    <t>D2 D7 D201</t>
  </si>
  <si>
    <t>三极管</t>
  </si>
  <si>
    <t>三极管,MMBT5551，SOT23，NPN，RoHS</t>
  </si>
  <si>
    <t>MMBT5551LT1</t>
  </si>
  <si>
    <t>Q9 Q10 Q11</t>
  </si>
  <si>
    <t>三极管 S9014W,SOT323,NPN</t>
  </si>
  <si>
    <t>S9014W</t>
  </si>
  <si>
    <t>Q1 Q2 Q3 Q4 Q5 Q6 Q8 Q13 Q14 Q16</t>
  </si>
  <si>
    <t>MOS管</t>
  </si>
  <si>
    <t>P-MOS，MT2305，SOT-23，RoHS</t>
  </si>
  <si>
    <t>MLS2305A</t>
  </si>
  <si>
    <t>Q7</t>
  </si>
  <si>
    <t>LDO</t>
  </si>
  <si>
    <t>LDO, RT9080-33GJ5, 600MA,SOT-23-5</t>
  </si>
  <si>
    <t>RS1562-33S5</t>
  </si>
  <si>
    <t>U6</t>
  </si>
  <si>
    <t>LDO, RT9193-33GB，300MA,SOT-23-5</t>
  </si>
  <si>
    <t>OCP2820WE33AD</t>
  </si>
  <si>
    <t>U2 U8 U11 U300</t>
  </si>
  <si>
    <t>LDO,TJ4330GDP-ADJ,SOP-8,RoHS</t>
  </si>
  <si>
    <t>TJ4330GDP-ADJ</t>
  </si>
  <si>
    <t>U401</t>
  </si>
  <si>
    <t>DCDC</t>
  </si>
  <si>
    <t>DC/DC，MP4560DN，SOP8，ROHS</t>
  </si>
  <si>
    <t>MP4560DN</t>
  </si>
  <si>
    <t>U200</t>
  </si>
  <si>
    <t>IC</t>
  </si>
  <si>
    <t>IC,SN74LVC2G07DBVR,SOT-23-6,RoHS</t>
  </si>
  <si>
    <t>RS2G07XH6</t>
  </si>
  <si>
    <t>U603</t>
  </si>
  <si>
    <t>IC,RS485, SIT3088EESA, SOP8</t>
  </si>
  <si>
    <t>SIT3088EESA</t>
  </si>
  <si>
    <t>U4 U104</t>
  </si>
  <si>
    <t>IC,RS232, SIT3232EEUE, TSSOP16</t>
  </si>
  <si>
    <t>BL13232ETS</t>
  </si>
  <si>
    <t>U9 U504</t>
  </si>
  <si>
    <t>蓝牙IC, YC1021_QFN32</t>
  </si>
  <si>
    <t>YC1021</t>
  </si>
  <si>
    <t>U5</t>
  </si>
  <si>
    <t>LTE Cat4模块，EC25AFA-512-STD，ROHS，移远</t>
  </si>
  <si>
    <t>EC25AFA-512-STD</t>
  </si>
  <si>
    <t>U1</t>
  </si>
  <si>
    <t>WIFI模块, FC20N-Q93, ROHS, 移远</t>
  </si>
  <si>
    <t>FC20N-Q93</t>
  </si>
  <si>
    <t>U801</t>
  </si>
  <si>
    <t>BT放大器，GSR2401,</t>
  </si>
  <si>
    <t>QFN16</t>
  </si>
  <si>
    <t>U10</t>
  </si>
  <si>
    <t>NORFLASH  GD25Q256EYIGR</t>
  </si>
  <si>
    <t>GD25Q256EYIGR</t>
  </si>
  <si>
    <t>U103</t>
  </si>
  <si>
    <t>MCU,GD32F305VCT6,LQFP100,ROHS,</t>
  </si>
  <si>
    <t>GD32F305VCT6</t>
  </si>
  <si>
    <t>U100</t>
  </si>
  <si>
    <t>连接器</t>
  </si>
  <si>
    <t>电池座，HYC-CR1220-2，华宇创</t>
  </si>
  <si>
    <t>J7</t>
  </si>
  <si>
    <t>TYPE-C接口，7.3，SHK16-B130，盛汇康</t>
  </si>
  <si>
    <t>J8</t>
  </si>
  <si>
    <t>micro PUSH SIM卡座，C792-3无柱H1.5有标6P</t>
  </si>
  <si>
    <t>J18</t>
  </si>
  <si>
    <t>IPX天线连接座,1代, 3X3mm, 20279001E-01</t>
  </si>
  <si>
    <t>ANT1 ANT2 ANT3 ANT4</t>
  </si>
  <si>
    <t>PCB</t>
  </si>
  <si>
    <t>PCB光板XBOX_V2.5_2025-05-05，FR4-1.6，4层沉金，铜厚1/H/H/10z，绿油白字，拼板尺寸
99*137.2/1.6MM，ROHS</t>
  </si>
  <si>
    <t>XBOX_V2.5投板文件0505</t>
  </si>
  <si>
    <t>插件DB9公头,90°弯脚, D-DMR009PM-D002</t>
  </si>
  <si>
    <t>J3</t>
  </si>
  <si>
    <t>插件DB25母头,90°弯脚, D-DMR025PF-D002</t>
  </si>
  <si>
    <t>J1 J2</t>
  </si>
  <si>
    <t>插件DB25公头,90°弯脚, D-DMR025PM-D002</t>
  </si>
  <si>
    <t>J5</t>
  </si>
  <si>
    <t>插件四色LED灯, BL-C34S-C, 佰鸿</t>
  </si>
  <si>
    <t>A1844SURSYGUBUOB/S
530-A3</t>
  </si>
  <si>
    <t>LED3</t>
  </si>
  <si>
    <t>插件LED灯，红色，D=3MM,</t>
  </si>
  <si>
    <t>A214B/SUR/S530-A3</t>
  </si>
  <si>
    <t>LED1 LED2</t>
  </si>
  <si>
    <t>天线</t>
  </si>
  <si>
    <t>GPS+4G二合一外置天线，SMA公头内孔，线长1.5M</t>
  </si>
  <si>
    <t>WIFI/BT棒状天线，SMA公头内孔,10DB</t>
  </si>
  <si>
    <t>天线转接线，SMA母头内针，一代IPEX，线长10CM</t>
  </si>
  <si>
    <t>电池</t>
  </si>
  <si>
    <t>纽扣电池，CR1220-40mAh，3V</t>
  </si>
  <si>
    <t>外壳</t>
  </si>
  <si>
    <t>XBOX整套铝壳，黑色，氧化</t>
  </si>
  <si>
    <t>螺丝</t>
  </si>
  <si>
    <t>3.5螺丝</t>
  </si>
  <si>
    <t>ID</t>
  </si>
  <si>
    <t>标贴纸</t>
  </si>
  <si>
    <t>包装</t>
  </si>
  <si>
    <t>包装盒，300G牛卡+单黑+A9加强+珍珠棉,205*192*55MM</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</si>
</sst>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宋体"/>
      <charset val="134"/>
    </font>
    <font>
      <b/>
      <sz val="11"/>
      <color theme="1"/>
      <name val="宋体"/>
      <charset val="134"/>
      <scheme val="minor"/>
    </font>
    <font>
      <sz val="11"/>
      <color theme="1"/>
      <name val="宋体"/>
      <charset val="0"/>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9"/>
      <name val="宋体"/>
      <charset val="134"/>
    </font>
    <font>
      <b/>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8" borderId="4"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7" fillId="10" borderId="0" applyNumberFormat="0" applyBorder="0" applyAlignment="0" applyProtection="0">
      <alignment vertical="center"/>
    </xf>
    <xf numFmtId="0" fontId="10" fillId="0" borderId="6" applyNumberFormat="0" applyFill="0" applyAlignment="0" applyProtection="0">
      <alignment vertical="center"/>
    </xf>
    <xf numFmtId="0" fontId="7" fillId="11" borderId="0" applyNumberFormat="0" applyBorder="0" applyAlignment="0" applyProtection="0">
      <alignment vertical="center"/>
    </xf>
    <xf numFmtId="0" fontId="16" fillId="12" borderId="7" applyNumberFormat="0" applyAlignment="0" applyProtection="0">
      <alignment vertical="center"/>
    </xf>
    <xf numFmtId="0" fontId="17" fillId="12" borderId="3" applyNumberFormat="0" applyAlignment="0" applyProtection="0">
      <alignment vertical="center"/>
    </xf>
    <xf numFmtId="0" fontId="18" fillId="13" borderId="8"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xf numFmtId="0" fontId="23" fillId="0" borderId="0">
      <alignment vertical="center"/>
    </xf>
    <xf numFmtId="0" fontId="23" fillId="0" borderId="0">
      <alignment vertical="center"/>
    </xf>
  </cellStyleXfs>
  <cellXfs count="27">
    <xf numFmtId="0" fontId="0" fillId="0" borderId="0" xfId="0">
      <alignment vertical="center"/>
    </xf>
    <xf numFmtId="0" fontId="1" fillId="2" borderId="0" xfId="0" applyFont="1" applyFill="1" applyAlignment="1">
      <alignment vertical="center" wrapText="1"/>
    </xf>
    <xf numFmtId="0" fontId="0" fillId="2" borderId="0" xfId="0" applyFont="1" applyFill="1" applyAlignment="1">
      <alignment vertical="center" wrapText="1"/>
    </xf>
    <xf numFmtId="0" fontId="0" fillId="2" borderId="0" xfId="0" applyFont="1" applyFill="1" applyAlignment="1">
      <alignment horizontal="center" vertical="center" wrapText="1"/>
    </xf>
    <xf numFmtId="0" fontId="0" fillId="2" borderId="0" xfId="0" applyFont="1" applyFill="1" applyBorder="1" applyAlignment="1">
      <alignment horizontal="left" vertical="center" wrapText="1"/>
    </xf>
    <xf numFmtId="0" fontId="0" fillId="2" borderId="0"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3" fillId="2" borderId="1" xfId="0" applyNumberFormat="1" applyFont="1" applyFill="1" applyBorder="1" applyAlignment="1">
      <alignment horizontal="left" vertical="center"/>
    </xf>
    <xf numFmtId="0" fontId="1" fillId="2" borderId="0" xfId="0" applyFont="1" applyFill="1" applyAlignment="1">
      <alignment horizontal="center" vertical="center" wrapText="1"/>
    </xf>
    <xf numFmtId="11" fontId="1" fillId="2" borderId="1" xfId="0" applyNumberFormat="1" applyFont="1" applyFill="1" applyBorder="1" applyAlignment="1">
      <alignment horizontal="left" vertical="center"/>
    </xf>
    <xf numFmtId="11" fontId="1" fillId="2" borderId="1" xfId="0" applyNumberFormat="1" applyFont="1" applyFill="1" applyBorder="1" applyAlignment="1">
      <alignment horizontal="left"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vertical="center"/>
    </xf>
    <xf numFmtId="0" fontId="0" fillId="2" borderId="1" xfId="0" applyFont="1" applyFill="1" applyBorder="1" applyAlignment="1">
      <alignment horizontal="left" vertical="center" wrapText="1"/>
    </xf>
    <xf numFmtId="0" fontId="1" fillId="2" borderId="0" xfId="0" applyFont="1" applyFill="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C700-2 订单" xfId="49"/>
    <cellStyle name="常规_Ahong PO" xfId="50"/>
  </cellStyles>
  <tableStyles count="0" defaultTableStyle="TableStyleMedium9"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ayge-2024\X23\V2.3\BOM\&#19979;&#21333;\&#19979;&#21333;-20240227\&#29289;&#26009;&#19979;&#21333;&#35745;&#21010;&#34920;-2024022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安锐驰库存"/>
      <sheetName val="物料下单2024"/>
    </sheetNames>
    <sheetDataSet>
      <sheetData sheetId="0" refreshError="1"/>
      <sheetData sheetId="1" refreshError="1">
        <row r="1">
          <cell r="F1" t="str">
            <v>物料下单计划表</v>
          </cell>
        </row>
        <row r="2">
          <cell r="B2" t="str">
            <v>蓝色代表已对账/已请款</v>
          </cell>
          <cell r="C2" t="str">
            <v>黄色代表已发货</v>
          </cell>
        </row>
        <row r="2">
          <cell r="E2" t="str">
            <v>物料</v>
          </cell>
        </row>
        <row r="2">
          <cell r="H2" t="str">
            <v>X23整机510套</v>
          </cell>
        </row>
        <row r="3">
          <cell r="B3" t="str">
            <v>Description（描述）</v>
          </cell>
          <cell r="C3" t="str">
            <v> Part No.
(物料号)</v>
          </cell>
          <cell r="D3" t="str">
            <v>品牌</v>
          </cell>
          <cell r="E3" t="str">
            <v>新单价</v>
          </cell>
          <cell r="F3" t="str">
            <v>MPQ</v>
          </cell>
          <cell r="G3" t="str">
            <v>帐期</v>
          </cell>
          <cell r="H3" t="str">
            <v>下单</v>
          </cell>
        </row>
        <row r="4">
          <cell r="B4" t="str">
            <v>RES,0Ω,±5%,1/16W,0402,0402WGJ0TCE,ROHS,UniOhm</v>
          </cell>
          <cell r="C4" t="str">
            <v>0402WGJ0000TCE</v>
          </cell>
          <cell r="D4" t="str">
            <v>厚声</v>
          </cell>
          <cell r="E4">
            <v>0.0012</v>
          </cell>
          <cell r="F4">
            <v>10000</v>
          </cell>
          <cell r="G4" t="str">
            <v>月结30天</v>
          </cell>
          <cell r="H4">
            <v>20000</v>
          </cell>
        </row>
        <row r="5">
          <cell r="B5" t="str">
            <v>RES,200Ω,±5%,1/16W,0402,0402WGJ0201TCE,ROHS,UniOhm</v>
          </cell>
          <cell r="C5" t="str">
            <v>0402WGJ0201TCE</v>
          </cell>
          <cell r="D5" t="str">
            <v>厚声</v>
          </cell>
          <cell r="E5">
            <v>0.0012</v>
          </cell>
          <cell r="F5">
            <v>10000</v>
          </cell>
          <cell r="G5" t="str">
            <v>月结30天</v>
          </cell>
          <cell r="H5">
            <v>10000</v>
          </cell>
        </row>
        <row r="6">
          <cell r="B6" t="str">
            <v>RES,1KΩ,±5%,1/16W,0402,0402WGJ1001TCE,ROHS,UniOhm</v>
          </cell>
          <cell r="C6" t="str">
            <v>0402WGJ0102TCE</v>
          </cell>
          <cell r="D6" t="str">
            <v>厚声</v>
          </cell>
          <cell r="E6">
            <v>0.0012</v>
          </cell>
          <cell r="F6">
            <v>10000</v>
          </cell>
          <cell r="G6" t="str">
            <v>月结30天</v>
          </cell>
          <cell r="H6">
            <v>10000</v>
          </cell>
        </row>
        <row r="7">
          <cell r="B7" t="str">
            <v>RES,4.7KΩ,±5%,1/16W,0402,0402WGJ4701TCE,ROHS,UniOhm</v>
          </cell>
          <cell r="C7" t="str">
            <v>0402WGJ0472TCE</v>
          </cell>
          <cell r="D7" t="str">
            <v>厚声</v>
          </cell>
          <cell r="E7">
            <v>0.0012</v>
          </cell>
          <cell r="F7">
            <v>10000</v>
          </cell>
          <cell r="G7" t="str">
            <v>月结30天</v>
          </cell>
          <cell r="H7">
            <v>10000</v>
          </cell>
        </row>
        <row r="8">
          <cell r="B8" t="str">
            <v>RES,10KΩ,±5%,1/16W,0402,0402WGJ0103TCE,ROHS,UniOhm</v>
          </cell>
          <cell r="C8" t="str">
            <v>0402WGJ0103TCE</v>
          </cell>
          <cell r="D8" t="str">
            <v>厚声</v>
          </cell>
          <cell r="E8">
            <v>0.0012</v>
          </cell>
          <cell r="F8">
            <v>10000</v>
          </cell>
          <cell r="G8" t="str">
            <v>月结30天</v>
          </cell>
          <cell r="H8">
            <v>20000</v>
          </cell>
        </row>
        <row r="9">
          <cell r="B9" t="str">
            <v>RES,47KΩ,±5%,1/16W,0402,0402WGJ4702TCE,ROHS,UniOhm</v>
          </cell>
          <cell r="C9" t="str">
            <v>0402WGJ0473TCE</v>
          </cell>
          <cell r="D9" t="str">
            <v>厚声</v>
          </cell>
          <cell r="E9">
            <v>0.0012</v>
          </cell>
          <cell r="F9">
            <v>10000</v>
          </cell>
          <cell r="G9" t="str">
            <v>月结30天</v>
          </cell>
          <cell r="H9">
            <v>10000</v>
          </cell>
        </row>
        <row r="10">
          <cell r="B10" t="str">
            <v>RES,100KΩ,±5%,1/16W,0402,0402WGJ1003TCE,ROHS,UniOhm</v>
          </cell>
          <cell r="C10" t="str">
            <v>0402WGJ0104TCE</v>
          </cell>
          <cell r="D10" t="str">
            <v>厚声</v>
          </cell>
          <cell r="E10">
            <v>0.0012</v>
          </cell>
          <cell r="F10">
            <v>10000</v>
          </cell>
          <cell r="G10" t="str">
            <v>月结30天</v>
          </cell>
          <cell r="H10">
            <v>10000</v>
          </cell>
        </row>
        <row r="11">
          <cell r="B11" t="str">
            <v>RES,1MΩ,±5%,1/16W,0402,0402WGJ0105TCE,ROHS,UniOhm</v>
          </cell>
          <cell r="C11" t="str">
            <v>0402WGJ0105TCE</v>
          </cell>
          <cell r="D11" t="str">
            <v>厚声</v>
          </cell>
          <cell r="E11">
            <v>0.0012</v>
          </cell>
          <cell r="F11">
            <v>10000</v>
          </cell>
          <cell r="G11" t="str">
            <v>月结30天</v>
          </cell>
          <cell r="H11">
            <v>10000</v>
          </cell>
        </row>
        <row r="12">
          <cell r="B12" t="str">
            <v>RES,1.2KΩ,±1%,1/16W,0402,0402WGF1201TCE,ROHS,UniOhm</v>
          </cell>
          <cell r="C12" t="str">
            <v>0402WGF1201TCE</v>
          </cell>
          <cell r="D12" t="str">
            <v>厚声</v>
          </cell>
          <cell r="E12">
            <v>0.0014</v>
          </cell>
          <cell r="F12">
            <v>10000</v>
          </cell>
          <cell r="G12" t="str">
            <v>月结30天</v>
          </cell>
          <cell r="H12">
            <v>10000</v>
          </cell>
        </row>
        <row r="13">
          <cell r="B13" t="str">
            <v>RES,6.8KΩ,±1%,1/16W,0402,0402WGF6801TCE,ROHS,UniOhm</v>
          </cell>
          <cell r="C13" t="str">
            <v>0402WGF6801TCE</v>
          </cell>
          <cell r="D13" t="str">
            <v>厚声</v>
          </cell>
          <cell r="E13">
            <v>0.0014</v>
          </cell>
          <cell r="F13">
            <v>10000</v>
          </cell>
          <cell r="G13" t="str">
            <v>月结30天</v>
          </cell>
          <cell r="H13">
            <v>10000</v>
          </cell>
        </row>
        <row r="14">
          <cell r="B14" t="str">
            <v>RES,10KΩ,±1%,1/16W,0402,0402WGF1002TCE,ROHS,UniOhm</v>
          </cell>
          <cell r="C14" t="str">
            <v>0402WGF1002TCE</v>
          </cell>
          <cell r="D14" t="str">
            <v>厚声</v>
          </cell>
          <cell r="E14">
            <v>0.0014</v>
          </cell>
          <cell r="F14">
            <v>10000</v>
          </cell>
          <cell r="G14" t="str">
            <v>月结30天</v>
          </cell>
          <cell r="H14">
            <v>10000</v>
          </cell>
        </row>
        <row r="15">
          <cell r="B15" t="str">
            <v>RES,36KΩ,±1%,1/16W,0402,0402WGF3602TCE,ROHS,UniOhm</v>
          </cell>
          <cell r="C15" t="str">
            <v>0402WGF3602TCE</v>
          </cell>
          <cell r="D15" t="str">
            <v>厚声</v>
          </cell>
          <cell r="E15">
            <v>0.0014</v>
          </cell>
          <cell r="F15">
            <v>10000</v>
          </cell>
          <cell r="G15" t="str">
            <v>月结30天</v>
          </cell>
          <cell r="H15">
            <v>10000</v>
          </cell>
        </row>
        <row r="16">
          <cell r="B16" t="str">
            <v>RES,100KΩ,±1%,1/16W,0402,0402WGF1003TCE,ROHS,UniOhm</v>
          </cell>
          <cell r="C16" t="str">
            <v>0402WGF1003TCE</v>
          </cell>
          <cell r="D16" t="str">
            <v>厚声</v>
          </cell>
          <cell r="E16">
            <v>0.0014</v>
          </cell>
          <cell r="F16">
            <v>10000</v>
          </cell>
          <cell r="G16" t="str">
            <v>月结30天</v>
          </cell>
          <cell r="H16">
            <v>10000</v>
          </cell>
        </row>
        <row r="17">
          <cell r="B17" t="str">
            <v>RES,200KΩ,±1%,1/16W,0402,0402WGF2003TCE,ROHS,UniOhm</v>
          </cell>
          <cell r="C17" t="str">
            <v>0402WGF2003TCE</v>
          </cell>
          <cell r="D17" t="str">
            <v>厚声</v>
          </cell>
          <cell r="E17">
            <v>0.0014</v>
          </cell>
          <cell r="F17">
            <v>10000</v>
          </cell>
          <cell r="G17" t="str">
            <v>月结30天</v>
          </cell>
          <cell r="H17">
            <v>10000</v>
          </cell>
        </row>
        <row r="18">
          <cell r="B18" t="str">
            <v>CAP,10pF,±5%,50V,0402,NPO,0402N100J500CT,ROHS,WALSIN</v>
          </cell>
          <cell r="C18" t="str">
            <v>C0402COG100J500NTB</v>
          </cell>
          <cell r="D18" t="str">
            <v>宇阳</v>
          </cell>
          <cell r="E18">
            <v>0.0027</v>
          </cell>
          <cell r="F18">
            <v>10000</v>
          </cell>
          <cell r="G18" t="str">
            <v>月结30天</v>
          </cell>
          <cell r="H18">
            <v>10000</v>
          </cell>
        </row>
        <row r="19">
          <cell r="B19" t="str">
            <v>CAP,33pF,±5%,50V,0402,NPO,0402N330J500CT,ROHS,WALSIN</v>
          </cell>
          <cell r="C19" t="str">
            <v>C0402C0G330J500NTB</v>
          </cell>
          <cell r="D19" t="str">
            <v>宇阳</v>
          </cell>
          <cell r="E19">
            <v>0.0027</v>
          </cell>
          <cell r="F19">
            <v>10000</v>
          </cell>
          <cell r="G19" t="str">
            <v>月结30天</v>
          </cell>
          <cell r="H19">
            <v>10000</v>
          </cell>
        </row>
        <row r="20">
          <cell r="B20" t="str">
            <v>CAP,100pF,±5%,50V,0402,C0G,CL05C101JB5NNNC,ROHS,SAMSNUG</v>
          </cell>
          <cell r="C20" t="str">
            <v>C0402COG101J500NTB</v>
          </cell>
          <cell r="D20" t="str">
            <v>宇阳</v>
          </cell>
          <cell r="E20">
            <v>0.0027</v>
          </cell>
          <cell r="F20">
            <v>10000</v>
          </cell>
          <cell r="G20" t="str">
            <v>月结30天</v>
          </cell>
          <cell r="H20">
            <v>10000</v>
          </cell>
        </row>
        <row r="21">
          <cell r="B21" t="str">
            <v>CAP,330pF,±10%,50V,0402,X7R,CC0402KxX7R9xx331,RoHS,YAGEO</v>
          </cell>
          <cell r="C21" t="str">
            <v>V331K0402X7R500NBT</v>
          </cell>
          <cell r="D21" t="str">
            <v>微容</v>
          </cell>
          <cell r="E21">
            <v>0.0027</v>
          </cell>
          <cell r="F21">
            <v>10000</v>
          </cell>
          <cell r="G21" t="str">
            <v>月结30天</v>
          </cell>
          <cell r="H21">
            <v>10000</v>
          </cell>
        </row>
        <row r="22">
          <cell r="B22" t="str">
            <v>CAP,1nF,±10%,50V,0402,X7R,CC0402KRX7R9BB102,RoHS,YAGEO</v>
          </cell>
          <cell r="C22" t="str">
            <v>C0402X7R102K500NTB</v>
          </cell>
          <cell r="D22" t="str">
            <v>宇阳</v>
          </cell>
          <cell r="E22">
            <v>0.0027</v>
          </cell>
          <cell r="F22">
            <v>10000</v>
          </cell>
          <cell r="G22" t="str">
            <v>月结30天</v>
          </cell>
          <cell r="H22">
            <v>10000</v>
          </cell>
        </row>
        <row r="23">
          <cell r="B23" t="str">
            <v>CAP,10nF,±10%,50V,0402,X7R,CC0402KRX7R9BB103,RoHS,YAGEO</v>
          </cell>
          <cell r="C23" t="str">
            <v>C0402X7R103K500NTB</v>
          </cell>
          <cell r="D23" t="str">
            <v>宇阳</v>
          </cell>
          <cell r="E23">
            <v>0.0027</v>
          </cell>
          <cell r="F23">
            <v>10000</v>
          </cell>
          <cell r="G23" t="str">
            <v>月结30天</v>
          </cell>
          <cell r="H23">
            <v>10000</v>
          </cell>
        </row>
        <row r="24">
          <cell r="B24" t="str">
            <v>CAP,0.1UF,±10%,16V,0402,X7R,CL05B104KO5NNNC,ROHS,SAMSNUG</v>
          </cell>
          <cell r="C24" t="str">
            <v>C0402X7R104K160NTB</v>
          </cell>
          <cell r="D24" t="str">
            <v>宇阳</v>
          </cell>
          <cell r="E24">
            <v>0.0027</v>
          </cell>
          <cell r="F24">
            <v>10000</v>
          </cell>
          <cell r="G24" t="str">
            <v>月结30天</v>
          </cell>
          <cell r="H24">
            <v>20000</v>
          </cell>
        </row>
        <row r="25">
          <cell r="B25" t="str">
            <v>CAP,1uF,10%,10V,0402,X5R,CL05A105KP5NNNC, ROHS,SAMSNUG</v>
          </cell>
          <cell r="C25" t="str">
            <v>CL05A105KP5NNNC</v>
          </cell>
          <cell r="D25" t="str">
            <v>三星</v>
          </cell>
          <cell r="E25">
            <v>0.006</v>
          </cell>
          <cell r="F25">
            <v>10000</v>
          </cell>
          <cell r="G25" t="str">
            <v>月结30天</v>
          </cell>
          <cell r="H25">
            <v>10000</v>
          </cell>
        </row>
        <row r="26">
          <cell r="B26" t="str">
            <v>CAP,15pF,±5%,50V,0603,NPO,0603N150J500CT,RoHS,WALSIN</v>
          </cell>
          <cell r="C26" t="str">
            <v>CC0603JRNPO9BN150</v>
          </cell>
          <cell r="D26" t="str">
            <v>国巨</v>
          </cell>
          <cell r="E26">
            <v>0.011</v>
          </cell>
          <cell r="F26">
            <v>4000</v>
          </cell>
          <cell r="G26" t="str">
            <v>月结30天</v>
          </cell>
          <cell r="H26">
            <v>4000</v>
          </cell>
        </row>
        <row r="27">
          <cell r="B27" t="str">
            <v>CAP,0.1uF,±10%,50V,0603,X7R,0603B104K500CT,ROHS,WALSIN</v>
          </cell>
          <cell r="C27" t="str">
            <v>CL10B104KB8NNNC</v>
          </cell>
          <cell r="D27" t="str">
            <v>三星</v>
          </cell>
          <cell r="E27">
            <v>0.009</v>
          </cell>
          <cell r="F27">
            <v>4000</v>
          </cell>
          <cell r="G27" t="str">
            <v>月结30天</v>
          </cell>
          <cell r="H27">
            <v>4000</v>
          </cell>
        </row>
        <row r="28">
          <cell r="B28" t="str">
            <v>CAP,10uF,±10%,10V,0603,X5R,CL10A106KP8NNNC,ROHS,SAMSNUG</v>
          </cell>
          <cell r="C28" t="str">
            <v>CL10A106MP8NNNC</v>
          </cell>
          <cell r="D28" t="str">
            <v>三星</v>
          </cell>
          <cell r="E28">
            <v>0.023</v>
          </cell>
          <cell r="F28">
            <v>4000</v>
          </cell>
          <cell r="G28" t="str">
            <v>月结30天</v>
          </cell>
          <cell r="H28">
            <v>4000</v>
          </cell>
        </row>
        <row r="29">
          <cell r="B29" t="str">
            <v>CAP,10uF,±10%,10V,0805,X5R,CL21A106KPFNNNE,RoHS,SAMSUN</v>
          </cell>
          <cell r="C29" t="str">
            <v>CL21A106KOQNNNE</v>
          </cell>
          <cell r="D29" t="str">
            <v>三星</v>
          </cell>
          <cell r="E29">
            <v>0.038</v>
          </cell>
          <cell r="F29">
            <v>2000</v>
          </cell>
          <cell r="G29" t="str">
            <v>月结30天</v>
          </cell>
          <cell r="H29">
            <v>2000</v>
          </cell>
        </row>
        <row r="30">
          <cell r="B30" t="str">
            <v>CAP,10uF,±10%,50V,X7R,1210,UMK325B7106KMQP, ROHS,TAIYO</v>
          </cell>
          <cell r="C30" t="str">
            <v>UMK325AB7106KM-P</v>
          </cell>
          <cell r="D30" t="str">
            <v>太诱</v>
          </cell>
          <cell r="E30">
            <v>0.4</v>
          </cell>
          <cell r="F30">
            <v>1000</v>
          </cell>
          <cell r="G30" t="str">
            <v>月结30天</v>
          </cell>
          <cell r="H30">
            <v>2000</v>
          </cell>
        </row>
        <row r="31">
          <cell r="B31" t="str">
            <v>TAN CAP,100uF,±20%,6.3V,B型,-55℃～+125℃,TAJB107M006R,AVX</v>
          </cell>
          <cell r="C31" t="str">
            <v>TAJB107M006RNJ</v>
          </cell>
          <cell r="D31" t="str">
            <v>AVX</v>
          </cell>
          <cell r="E31">
            <v>0.68</v>
          </cell>
          <cell r="F31">
            <v>2000</v>
          </cell>
          <cell r="G31" t="str">
            <v>月结30天</v>
          </cell>
          <cell r="H31">
            <v>2000</v>
          </cell>
        </row>
        <row r="32">
          <cell r="B32" t="str">
            <v>铝电解电容,100uF/50V,±20%,CK1H101M-CRF10,尺寸：8x10.2mm,ROHS,Fujicon</v>
          </cell>
          <cell r="C32" t="str">
            <v>100UF ±20% 50V 8*10.5</v>
          </cell>
          <cell r="D32" t="str">
            <v>承兴</v>
          </cell>
          <cell r="E32">
            <v>0.31</v>
          </cell>
          <cell r="F32">
            <v>500</v>
          </cell>
          <cell r="G32" t="str">
            <v>月结30天</v>
          </cell>
          <cell r="H32">
            <v>1000</v>
          </cell>
        </row>
        <row r="33">
          <cell r="B33" t="str">
            <v>磁珠,600欧/100MHZ,100mA,0402,GZ1005D601TF,深圳顺络电子</v>
          </cell>
          <cell r="C33" t="str">
            <v>CBM100505U601T</v>
          </cell>
          <cell r="D33" t="str">
            <v>风华</v>
          </cell>
          <cell r="E33">
            <v>0.0094</v>
          </cell>
          <cell r="F33">
            <v>10000</v>
          </cell>
          <cell r="G33" t="str">
            <v>月结30天</v>
          </cell>
          <cell r="H33">
            <v>10000</v>
          </cell>
        </row>
        <row r="34">
          <cell r="B34" t="str">
            <v>功率电感, 15UH, SWPA6045S150MT, 深圳顺络电子</v>
          </cell>
          <cell r="C34" t="str">
            <v>SWPA6045S150MT</v>
          </cell>
          <cell r="D34" t="str">
            <v>顺络</v>
          </cell>
          <cell r="E34">
            <v>0.25</v>
          </cell>
          <cell r="F34">
            <v>1500</v>
          </cell>
          <cell r="G34" t="str">
            <v>月结30天</v>
          </cell>
          <cell r="H34">
            <v>1500</v>
          </cell>
        </row>
        <row r="35">
          <cell r="B35" t="str">
            <v>晶振,32.768KHZ,12.5PF,±20PPm,FC-135</v>
          </cell>
          <cell r="C35" t="str">
            <v>SF32WK32768D31T002</v>
          </cell>
          <cell r="D35" t="str">
            <v>泰晶</v>
          </cell>
          <cell r="E35">
            <v>0.58</v>
          </cell>
          <cell r="F35">
            <v>3000</v>
          </cell>
          <cell r="G35" t="str">
            <v>月结30天</v>
          </cell>
          <cell r="H35">
            <v>3000</v>
          </cell>
        </row>
        <row r="36">
          <cell r="B36" t="str">
            <v>无源晶振,12MHz,±10ppm,负载电容20PF,SMD3225,RoHS</v>
          </cell>
          <cell r="C36">
            <v>3206120001</v>
          </cell>
          <cell r="D36" t="str">
            <v>明德亨</v>
          </cell>
          <cell r="E36">
            <v>0.18</v>
          </cell>
          <cell r="F36">
            <v>4000</v>
          </cell>
          <cell r="G36" t="str">
            <v>月结30天</v>
          </cell>
          <cell r="H36">
            <v>4000</v>
          </cell>
        </row>
        <row r="37">
          <cell r="B37" t="str">
            <v>无源晶振,24MHz,±10ppm,负载电容12PF,3.2*2.5,RoHS</v>
          </cell>
          <cell r="C37" t="str">
            <v>3225 24M</v>
          </cell>
          <cell r="D37" t="str">
            <v>东晶</v>
          </cell>
          <cell r="E37">
            <v>0.21</v>
          </cell>
          <cell r="F37">
            <v>3000</v>
          </cell>
          <cell r="G37" t="str">
            <v>月结30天</v>
          </cell>
          <cell r="H37">
            <v>3000</v>
          </cell>
        </row>
        <row r="38">
          <cell r="B38" t="str">
            <v>熔断型保险丝,12 113.2,1206,2A,ROHS,brightking</v>
          </cell>
          <cell r="C38" t="str">
            <v>12H 2A 63V</v>
          </cell>
          <cell r="D38" t="str">
            <v>良胜</v>
          </cell>
          <cell r="E38">
            <v>0.1</v>
          </cell>
          <cell r="F38">
            <v>3000</v>
          </cell>
          <cell r="G38" t="str">
            <v>月结30天</v>
          </cell>
          <cell r="H38">
            <v>3000</v>
          </cell>
        </row>
        <row r="39">
          <cell r="B39" t="str">
            <v>TVS，SD024C，SOD323, 东沃</v>
          </cell>
          <cell r="C39" t="str">
            <v>VCTB24V33D3YW</v>
          </cell>
          <cell r="D39" t="str">
            <v>Weforsemi</v>
          </cell>
          <cell r="E39">
            <v>0.08</v>
          </cell>
          <cell r="F39">
            <v>3000</v>
          </cell>
          <cell r="G39" t="str">
            <v>月结30天</v>
          </cell>
          <cell r="H39">
            <v>3000</v>
          </cell>
        </row>
        <row r="40">
          <cell r="B40" t="str">
            <v>TVS,SMBJ36A,SMB,ROHS，brightking</v>
          </cell>
          <cell r="C40" t="str">
            <v>SMBJ36A</v>
          </cell>
          <cell r="D40" t="str">
            <v>JRS</v>
          </cell>
          <cell r="E40">
            <v>0.089</v>
          </cell>
          <cell r="F40">
            <v>750</v>
          </cell>
          <cell r="G40" t="str">
            <v>月结30天</v>
          </cell>
          <cell r="H40">
            <v>750</v>
          </cell>
        </row>
        <row r="41">
          <cell r="B41" t="str">
            <v>TVSPT3C4V5B，SOD-323,ROHS,PulseTake Devices</v>
          </cell>
          <cell r="C41" t="str">
            <v>VCTB4V5300D3X</v>
          </cell>
          <cell r="D41" t="str">
            <v>Weforsemi</v>
          </cell>
          <cell r="E41">
            <v>0.115</v>
          </cell>
          <cell r="F41">
            <v>3000</v>
          </cell>
          <cell r="G41" t="str">
            <v>月结30天</v>
          </cell>
          <cell r="H41">
            <v>3000</v>
          </cell>
        </row>
        <row r="42">
          <cell r="B42" t="str">
            <v>TVS，NUP2105L，SOT23-3,ROHS</v>
          </cell>
          <cell r="C42" t="str">
            <v>NUP2105L</v>
          </cell>
          <cell r="D42" t="str">
            <v>SXSEMI</v>
          </cell>
          <cell r="E42">
            <v>0.15</v>
          </cell>
          <cell r="F42">
            <v>3000</v>
          </cell>
          <cell r="G42" t="str">
            <v>月结30天</v>
          </cell>
          <cell r="H42">
            <v>3000</v>
          </cell>
        </row>
        <row r="43">
          <cell r="B43" t="str">
            <v>ESD,5V单向，ESD9L5.0ST5G</v>
          </cell>
          <cell r="C43" t="str">
            <v>VCTU5V0P6D8F</v>
          </cell>
          <cell r="D43" t="str">
            <v>Weforsemi</v>
          </cell>
          <cell r="E43">
            <v>0.068</v>
          </cell>
          <cell r="F43">
            <v>10000</v>
          </cell>
          <cell r="G43" t="str">
            <v>月结30天</v>
          </cell>
          <cell r="H43">
            <v>20000</v>
          </cell>
        </row>
        <row r="44">
          <cell r="B44" t="str">
            <v>二极管,1N4148WS,100V/150mA,SOD-323,长电</v>
          </cell>
          <cell r="C44" t="str">
            <v>1N4148WS</v>
          </cell>
          <cell r="D44" t="str">
            <v>JRS</v>
          </cell>
          <cell r="E44">
            <v>0.016</v>
          </cell>
          <cell r="F44">
            <v>3000</v>
          </cell>
          <cell r="G44" t="str">
            <v>月结30天</v>
          </cell>
          <cell r="H44">
            <v>6000</v>
          </cell>
        </row>
        <row r="45">
          <cell r="B45" t="str">
            <v>钳位二极管,DAN217U，硅，SOT-323，RoHS,长电</v>
          </cell>
          <cell r="C45" t="str">
            <v>DAN217U</v>
          </cell>
          <cell r="D45" t="str">
            <v>JRS</v>
          </cell>
          <cell r="E45">
            <v>0.039</v>
          </cell>
          <cell r="F45">
            <v>3000</v>
          </cell>
          <cell r="G45" t="str">
            <v>月结30天</v>
          </cell>
          <cell r="H45">
            <v>3000</v>
          </cell>
        </row>
        <row r="46">
          <cell r="B46" t="str">
            <v>整流二极管,SM360A,DO-214AC(SMA),ROHS,LRC</v>
          </cell>
          <cell r="C46" t="str">
            <v>SM360A SMA</v>
          </cell>
          <cell r="D46" t="str">
            <v>JRS</v>
          </cell>
          <cell r="E46">
            <v>0.063</v>
          </cell>
          <cell r="F46">
            <v>2000</v>
          </cell>
          <cell r="G46" t="str">
            <v>月结30天</v>
          </cell>
          <cell r="H46">
            <v>2000</v>
          </cell>
        </row>
        <row r="47">
          <cell r="B47" t="str">
            <v>二极管, SS34, SMB, ROHS</v>
          </cell>
          <cell r="C47" t="str">
            <v>SS34 SMB</v>
          </cell>
          <cell r="D47" t="str">
            <v>JRS</v>
          </cell>
          <cell r="E47">
            <v>0.066</v>
          </cell>
          <cell r="F47">
            <v>3000</v>
          </cell>
          <cell r="G47" t="str">
            <v>月结30天</v>
          </cell>
          <cell r="H47">
            <v>3000</v>
          </cell>
        </row>
        <row r="48">
          <cell r="B48" t="str">
            <v>三极管,MMBT5551，SOT23，NPN，RoHS，长电</v>
          </cell>
          <cell r="C48" t="str">
            <v>MMBT5551LT1</v>
          </cell>
          <cell r="D48" t="str">
            <v>JRS</v>
          </cell>
          <cell r="E48">
            <v>0.022</v>
          </cell>
          <cell r="F48">
            <v>3000</v>
          </cell>
          <cell r="G48" t="str">
            <v>月结30天</v>
          </cell>
          <cell r="H48">
            <v>3000</v>
          </cell>
        </row>
        <row r="49">
          <cell r="B49" t="str">
            <v>三极管 S9014W,SOT323,NPN,长江</v>
          </cell>
          <cell r="C49" t="str">
            <v>S9014W</v>
          </cell>
          <cell r="D49" t="str">
            <v>JRS</v>
          </cell>
          <cell r="E49">
            <v>0.022</v>
          </cell>
          <cell r="F49">
            <v>3000</v>
          </cell>
          <cell r="G49" t="str">
            <v>月结30天</v>
          </cell>
          <cell r="H49">
            <v>6000</v>
          </cell>
        </row>
        <row r="50">
          <cell r="B50" t="str">
            <v>P-MOS，MT2305，SOT-23，RoHS</v>
          </cell>
          <cell r="C50" t="str">
            <v>MLS2305A</v>
          </cell>
          <cell r="D50" t="str">
            <v>MLS</v>
          </cell>
          <cell r="E50">
            <v>0.09</v>
          </cell>
          <cell r="F50">
            <v>3000</v>
          </cell>
          <cell r="G50" t="str">
            <v>月结30天</v>
          </cell>
          <cell r="H50">
            <v>3000</v>
          </cell>
        </row>
        <row r="51">
          <cell r="B51" t="str">
            <v>LDO, RT9080-33GJ5, 600MA,SOT-23-5，RichTek</v>
          </cell>
          <cell r="C51" t="str">
            <v>RS1562-33S5</v>
          </cell>
          <cell r="D51" t="str">
            <v>DSTECH</v>
          </cell>
          <cell r="E51">
            <v>0.16</v>
          </cell>
          <cell r="F51">
            <v>3000</v>
          </cell>
          <cell r="G51" t="str">
            <v>月结30天</v>
          </cell>
          <cell r="H51">
            <v>3000</v>
          </cell>
        </row>
        <row r="52">
          <cell r="B52" t="str">
            <v>LDO, RT9193-33GB，300MA,SOT-23-5，RichTek</v>
          </cell>
          <cell r="C52" t="str">
            <v>OCP2820WE33AD</v>
          </cell>
          <cell r="D52" t="str">
            <v>OCS(灿瑞）</v>
          </cell>
          <cell r="E52">
            <v>0.085</v>
          </cell>
          <cell r="F52">
            <v>3000</v>
          </cell>
          <cell r="G52" t="str">
            <v>月结30天</v>
          </cell>
          <cell r="H52">
            <v>3000</v>
          </cell>
        </row>
        <row r="53">
          <cell r="B53" t="str">
            <v>LDO,TJ4330GDP-ADJ,SOP-8,RoHS,HTC</v>
          </cell>
          <cell r="C53" t="str">
            <v>TJ4330GDP-ADJ</v>
          </cell>
          <cell r="D53" t="str">
            <v>HTC</v>
          </cell>
          <cell r="E53">
            <v>1.06</v>
          </cell>
          <cell r="F53">
            <v>2500</v>
          </cell>
          <cell r="G53" t="str">
            <v>月结30天</v>
          </cell>
          <cell r="H53">
            <v>2500</v>
          </cell>
        </row>
        <row r="54">
          <cell r="B54" t="str">
            <v>DC/DC，MP4560DN，SOP8，ROHS，MPS</v>
          </cell>
          <cell r="C54" t="str">
            <v>MP4560DN</v>
          </cell>
          <cell r="D54" t="str">
            <v>MPS</v>
          </cell>
          <cell r="E54">
            <v>2.55</v>
          </cell>
          <cell r="F54">
            <v>2500</v>
          </cell>
          <cell r="G54" t="str">
            <v>月结30天</v>
          </cell>
          <cell r="H54">
            <v>520</v>
          </cell>
        </row>
        <row r="55">
          <cell r="B55" t="str">
            <v>IC,SN74LVC2G07DBVR,SOT-23-6,RoHS,TEXAS</v>
          </cell>
          <cell r="C55" t="str">
            <v>RS2G07XH6</v>
          </cell>
          <cell r="D55" t="str">
            <v>润石</v>
          </cell>
          <cell r="E55">
            <v>0.33</v>
          </cell>
          <cell r="F55">
            <v>3000</v>
          </cell>
          <cell r="G55" t="str">
            <v>月结30天</v>
          </cell>
          <cell r="H55">
            <v>3000</v>
          </cell>
        </row>
        <row r="56">
          <cell r="B56" t="str">
            <v>IC,RS232, SIT3232EEUE, TSSOP16, SIT</v>
          </cell>
          <cell r="C56" t="str">
            <v>BL13232ETS</v>
          </cell>
          <cell r="D56" t="str">
            <v>贝岭</v>
          </cell>
          <cell r="E56">
            <v>0.95</v>
          </cell>
          <cell r="F56">
            <v>3000</v>
          </cell>
          <cell r="G56" t="str">
            <v>月结30天</v>
          </cell>
          <cell r="H56">
            <v>3000</v>
          </cell>
        </row>
        <row r="57">
          <cell r="B57" t="str">
            <v>蓝牙IC, YC1021_QFN32, 易兆微</v>
          </cell>
          <cell r="C57" t="str">
            <v>YC1021</v>
          </cell>
          <cell r="D57" t="str">
            <v>易兆微</v>
          </cell>
          <cell r="E57">
            <v>1.9</v>
          </cell>
          <cell r="F57">
            <v>3000</v>
          </cell>
          <cell r="G57" t="str">
            <v>现金</v>
          </cell>
          <cell r="H57">
            <v>520</v>
          </cell>
        </row>
        <row r="58">
          <cell r="B58" t="str">
            <v>BT/WIFI放大器,GSR2401C QFN16,GSR</v>
          </cell>
          <cell r="C58" t="str">
            <v>GSR2401C</v>
          </cell>
          <cell r="D58" t="str">
            <v>GSR</v>
          </cell>
          <cell r="E58">
            <v>2</v>
          </cell>
          <cell r="F58">
            <v>3000</v>
          </cell>
          <cell r="G58" t="str">
            <v>现金</v>
          </cell>
          <cell r="H58">
            <v>600</v>
          </cell>
        </row>
        <row r="59">
          <cell r="B59" t="str">
            <v>LTE Cat4模块，EC25AFA-512-STD，ROHS，移远</v>
          </cell>
          <cell r="C59" t="str">
            <v>EC25AFA-512-STD</v>
          </cell>
          <cell r="D59" t="str">
            <v>移远</v>
          </cell>
          <cell r="E59">
            <v>158</v>
          </cell>
          <cell r="F59">
            <v>500</v>
          </cell>
          <cell r="G59" t="str">
            <v>现金</v>
          </cell>
          <cell r="H59">
            <v>520</v>
          </cell>
        </row>
        <row r="60">
          <cell r="B60" t="str">
            <v>WIFI模块, FC20N-Q93, ROHS, 移远</v>
          </cell>
          <cell r="C60" t="str">
            <v>FC20N-Q93</v>
          </cell>
          <cell r="D60" t="str">
            <v>移远</v>
          </cell>
          <cell r="E60">
            <v>33.5</v>
          </cell>
          <cell r="F60">
            <v>500</v>
          </cell>
          <cell r="G60" t="str">
            <v>现金</v>
          </cell>
          <cell r="H60">
            <v>520</v>
          </cell>
        </row>
        <row r="61">
          <cell r="B61" t="str">
            <v>NORFLASH  GD25Q256EYIGR</v>
          </cell>
          <cell r="C61" t="str">
            <v>GD25Q256EYIGR</v>
          </cell>
          <cell r="D61" t="str">
            <v>GD兆易</v>
          </cell>
          <cell r="E61">
            <v>9.6</v>
          </cell>
          <cell r="F61">
            <v>480</v>
          </cell>
          <cell r="G61" t="str">
            <v>现金</v>
          </cell>
          <cell r="H61">
            <v>520</v>
          </cell>
        </row>
        <row r="62">
          <cell r="B62" t="str">
            <v>MCU,GD32F305VCT6,LQFP100,ROHS,GD</v>
          </cell>
          <cell r="C62" t="str">
            <v>GD32F305VCT6</v>
          </cell>
          <cell r="D62" t="str">
            <v>GD兆易</v>
          </cell>
          <cell r="E62">
            <v>9.2</v>
          </cell>
          <cell r="F62">
            <v>480</v>
          </cell>
          <cell r="G62" t="str">
            <v>现金</v>
          </cell>
          <cell r="H62">
            <v>520</v>
          </cell>
        </row>
        <row r="63">
          <cell r="B63" t="str">
            <v>电池座，HYC-CR1220-2，华宇创</v>
          </cell>
          <cell r="C63">
            <v>0</v>
          </cell>
          <cell r="D63" t="str">
            <v>盛汇康</v>
          </cell>
          <cell r="E63">
            <v>0.38</v>
          </cell>
          <cell r="F63">
            <v>1000</v>
          </cell>
          <cell r="G63" t="str">
            <v>月结30天</v>
          </cell>
          <cell r="H63">
            <v>1000</v>
          </cell>
        </row>
        <row r="64">
          <cell r="B64" t="str">
            <v>TYPE-C接口，7.3，SHK16-B130，盛汇康</v>
          </cell>
          <cell r="C64">
            <v>0</v>
          </cell>
          <cell r="D64" t="str">
            <v>盛汇康</v>
          </cell>
          <cell r="E64">
            <v>0.39</v>
          </cell>
          <cell r="F64">
            <v>1000</v>
          </cell>
          <cell r="G64" t="str">
            <v>月结30天</v>
          </cell>
          <cell r="H64">
            <v>1000</v>
          </cell>
        </row>
        <row r="65">
          <cell r="B65" t="str">
            <v>micro PUSH SIM卡座，C792-3无柱H1.5有标6P</v>
          </cell>
          <cell r="C65">
            <v>0</v>
          </cell>
          <cell r="D65" t="str">
            <v>盛汇康</v>
          </cell>
          <cell r="E65">
            <v>0.97</v>
          </cell>
          <cell r="F65">
            <v>1000</v>
          </cell>
          <cell r="G65" t="str">
            <v>月结30天</v>
          </cell>
          <cell r="H65">
            <v>1000</v>
          </cell>
        </row>
        <row r="66">
          <cell r="B66" t="str">
            <v>IPX天线连接座,1代, 3X3mm, 20279001E-01</v>
          </cell>
          <cell r="C66">
            <v>0</v>
          </cell>
          <cell r="D66" t="str">
            <v>盛汇康</v>
          </cell>
          <cell r="E66">
            <v>0.21</v>
          </cell>
          <cell r="F66">
            <v>4500</v>
          </cell>
          <cell r="G66" t="str">
            <v>月结30天</v>
          </cell>
          <cell r="H66">
            <v>4500</v>
          </cell>
        </row>
        <row r="67">
          <cell r="B67" t="str">
            <v>插件DB9公头,90°弯脚, D-DMR009PM-D002</v>
          </cell>
          <cell r="C67">
            <v>0</v>
          </cell>
          <cell r="D67" t="str">
            <v>盛汇康</v>
          </cell>
          <cell r="E67">
            <v>0.51</v>
          </cell>
          <cell r="F67">
            <v>1000</v>
          </cell>
          <cell r="G67" t="str">
            <v>月结30天</v>
          </cell>
          <cell r="H67">
            <v>1000</v>
          </cell>
        </row>
        <row r="68">
          <cell r="B68" t="str">
            <v>插件DB25母头,90°弯脚, D-DMR025PF-D002</v>
          </cell>
          <cell r="C68">
            <v>0</v>
          </cell>
          <cell r="D68" t="str">
            <v>盛汇康</v>
          </cell>
          <cell r="E68">
            <v>1.07</v>
          </cell>
          <cell r="F68">
            <v>1000</v>
          </cell>
          <cell r="G68" t="str">
            <v>月结30天</v>
          </cell>
          <cell r="H68">
            <v>1000</v>
          </cell>
        </row>
        <row r="69">
          <cell r="B69" t="str">
            <v>插件DB25公头,90°弯脚, D-DMR025PM-D002</v>
          </cell>
          <cell r="C69">
            <v>0</v>
          </cell>
          <cell r="D69" t="str">
            <v>盛汇康</v>
          </cell>
          <cell r="E69">
            <v>1.08</v>
          </cell>
          <cell r="F69">
            <v>1000</v>
          </cell>
          <cell r="G69" t="str">
            <v>月结30天</v>
          </cell>
          <cell r="H69">
            <v>1000</v>
          </cell>
        </row>
        <row r="70">
          <cell r="B70" t="str">
            <v>插件四色LED灯, BL-C34S-C, 佰鸿</v>
          </cell>
          <cell r="C70" t="str">
            <v>A1844SURSYGUBUOB/S
530-A3</v>
          </cell>
          <cell r="D70" t="str">
            <v>治成龙</v>
          </cell>
          <cell r="E70">
            <v>0.7</v>
          </cell>
          <cell r="F70">
            <v>1</v>
          </cell>
          <cell r="G70" t="str">
            <v>月结30天</v>
          </cell>
          <cell r="H70">
            <v>520</v>
          </cell>
        </row>
        <row r="71">
          <cell r="B71" t="str">
            <v>插件LED灯，红色，D=3MM,</v>
          </cell>
          <cell r="C71" t="str">
            <v>A214B/SUR/S530-A3</v>
          </cell>
          <cell r="D71" t="str">
            <v>治成龙</v>
          </cell>
          <cell r="E71">
            <v>0.25</v>
          </cell>
          <cell r="F71">
            <v>1</v>
          </cell>
          <cell r="G71" t="str">
            <v>月结30天</v>
          </cell>
          <cell r="H71">
            <v>1040</v>
          </cell>
        </row>
        <row r="72">
          <cell r="B72" t="str">
            <v>GPS+4G二合一外置天线，SMA公头内孔，线长1.5M</v>
          </cell>
          <cell r="C72">
            <v>0</v>
          </cell>
          <cell r="D72" t="str">
            <v>德昶</v>
          </cell>
          <cell r="E72">
            <v>15.4</v>
          </cell>
          <cell r="F72">
            <v>1</v>
          </cell>
          <cell r="G72" t="str">
            <v>月结30天</v>
          </cell>
          <cell r="H72">
            <v>520</v>
          </cell>
        </row>
        <row r="73">
          <cell r="B73" t="str">
            <v>WIFI/BT棒状天线，SMA公头内孔,10DB</v>
          </cell>
          <cell r="C73">
            <v>0</v>
          </cell>
          <cell r="D73" t="str">
            <v>德昶</v>
          </cell>
          <cell r="E73">
            <v>2.69</v>
          </cell>
          <cell r="F73">
            <v>1</v>
          </cell>
          <cell r="G73" t="str">
            <v>月结30天</v>
          </cell>
          <cell r="H73">
            <v>1040</v>
          </cell>
        </row>
        <row r="74">
          <cell r="B74" t="str">
            <v>天线转接线，SMA母头内针，一代IPEX，线长10CM</v>
          </cell>
          <cell r="C74">
            <v>0</v>
          </cell>
          <cell r="D74" t="str">
            <v>德昶</v>
          </cell>
          <cell r="E74">
            <v>1.76</v>
          </cell>
          <cell r="F74">
            <v>1</v>
          </cell>
          <cell r="G74" t="str">
            <v>月结30天</v>
          </cell>
          <cell r="H74">
            <v>2080</v>
          </cell>
        </row>
        <row r="75">
          <cell r="B75" t="str">
            <v>纽扣电池，CR1220-40mAh，3V</v>
          </cell>
          <cell r="C75">
            <v>0</v>
          </cell>
          <cell r="D75" t="str">
            <v>领域通</v>
          </cell>
          <cell r="E75">
            <v>0.26</v>
          </cell>
          <cell r="F75">
            <v>1</v>
          </cell>
          <cell r="G75" t="str">
            <v>月结30天</v>
          </cell>
          <cell r="H75">
            <v>520</v>
          </cell>
        </row>
        <row r="76">
          <cell r="B76" t="str">
            <v>XBOX整套铝壳，橙色，氧化</v>
          </cell>
          <cell r="C76">
            <v>0</v>
          </cell>
          <cell r="D76" t="str">
            <v>高盛鑫</v>
          </cell>
          <cell r="E76">
            <v>16.5</v>
          </cell>
          <cell r="F76">
            <v>1</v>
          </cell>
          <cell r="G76" t="str">
            <v>月结30天</v>
          </cell>
          <cell r="H76">
            <v>520</v>
          </cell>
        </row>
        <row r="77">
          <cell r="B77" t="str">
            <v>3.5螺丝</v>
          </cell>
          <cell r="C77">
            <v>0</v>
          </cell>
          <cell r="D77">
            <v>0</v>
          </cell>
          <cell r="E77">
            <v>0</v>
          </cell>
          <cell r="F77">
            <v>10000</v>
          </cell>
          <cell r="G77" t="str">
            <v>月结30天</v>
          </cell>
          <cell r="H77">
            <v>10000</v>
          </cell>
        </row>
        <row r="78">
          <cell r="B78" t="str">
            <v>标贴纸</v>
          </cell>
          <cell r="C78">
            <v>0</v>
          </cell>
          <cell r="D78">
            <v>0</v>
          </cell>
          <cell r="E78">
            <v>0</v>
          </cell>
          <cell r="F78">
            <v>1</v>
          </cell>
          <cell r="G78" t="str">
            <v>月结30天</v>
          </cell>
          <cell r="H78">
            <v>520</v>
          </cell>
        </row>
        <row r="79">
          <cell r="B79" t="str">
            <v>包装盒，300G牛卡+单黑+A9加强+珍珠棉,205*192*55MM</v>
          </cell>
          <cell r="C79">
            <v>0</v>
          </cell>
          <cell r="D79" t="str">
            <v>腾超达</v>
          </cell>
          <cell r="E79">
            <v>4.08</v>
          </cell>
          <cell r="F79">
            <v>500</v>
          </cell>
          <cell r="G79" t="str">
            <v>月结30天</v>
          </cell>
          <cell r="H79">
            <v>520</v>
          </cell>
        </row>
        <row r="80">
          <cell r="B80" t="str">
            <v>SMT</v>
          </cell>
        </row>
        <row r="80">
          <cell r="E80">
            <v>10</v>
          </cell>
          <cell r="F80">
            <v>1</v>
          </cell>
          <cell r="G80" t="str">
            <v>月结30天</v>
          </cell>
          <cell r="H80">
            <v>510</v>
          </cell>
        </row>
        <row r="81">
          <cell r="B81" t="str">
            <v>组装</v>
          </cell>
        </row>
        <row r="81">
          <cell r="E81">
            <v>10</v>
          </cell>
          <cell r="F81">
            <v>1</v>
          </cell>
          <cell r="G81" t="str">
            <v>月结30天</v>
          </cell>
          <cell r="H81">
            <v>510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83"/>
  <sheetViews>
    <sheetView tabSelected="1" view="pageBreakPreview" zoomScaleNormal="100" workbookViewId="0">
      <pane ySplit="2" topLeftCell="A3" activePane="bottomLeft" state="frozen"/>
      <selection/>
      <selection pane="bottomLeft" activeCell="C8" sqref="C8"/>
    </sheetView>
  </sheetViews>
  <sheetFormatPr defaultColWidth="9" defaultRowHeight="13.5" outlineLevelCol="6"/>
  <cols>
    <col min="1" max="1" width="4.875" style="3" customWidth="1"/>
    <col min="2" max="2" width="9" style="3"/>
    <col min="3" max="3" width="55.625" style="4" customWidth="1"/>
    <col min="4" max="4" width="27" style="4" customWidth="1"/>
    <col min="5" max="5" width="41.5" style="4" customWidth="1"/>
    <col min="6" max="6" width="6.375" style="5" customWidth="1"/>
    <col min="7" max="7" width="9.125" style="2" customWidth="1"/>
    <col min="8" max="16384" width="9" style="2"/>
  </cols>
  <sheetData>
    <row r="1" ht="24" customHeight="1" spans="1:7">
      <c r="A1" s="6" t="s">
        <v>0</v>
      </c>
      <c r="B1" s="7"/>
      <c r="C1" s="8"/>
      <c r="D1" s="8"/>
      <c r="E1" s="8"/>
      <c r="F1" s="9"/>
      <c r="G1" s="9"/>
    </row>
    <row r="2" ht="33" customHeight="1" spans="1:7">
      <c r="A2" s="9" t="s">
        <v>1</v>
      </c>
      <c r="B2" s="7" t="s">
        <v>2</v>
      </c>
      <c r="C2" s="8" t="s">
        <v>3</v>
      </c>
      <c r="D2" s="8" t="s">
        <v>4</v>
      </c>
      <c r="E2" s="8" t="s">
        <v>5</v>
      </c>
      <c r="F2" s="9" t="s">
        <v>6</v>
      </c>
      <c r="G2" s="10" t="s">
        <v>7</v>
      </c>
    </row>
    <row r="3" s="1" customFormat="1" ht="54" spans="1:7">
      <c r="A3" s="11">
        <v>1</v>
      </c>
      <c r="B3" s="12" t="s">
        <v>8</v>
      </c>
      <c r="C3" s="13" t="s">
        <v>9</v>
      </c>
      <c r="D3" s="14" t="s">
        <v>10</v>
      </c>
      <c r="E3" s="15" t="s">
        <v>11</v>
      </c>
      <c r="F3" s="11">
        <v>35</v>
      </c>
      <c r="G3" s="16">
        <f>VLOOKUP(C3,[1]物料下单2024!$B$1:$H$65536,7,FALSE)</f>
        <v>20000</v>
      </c>
    </row>
    <row r="4" s="1" customFormat="1" spans="1:7">
      <c r="A4" s="11">
        <v>2</v>
      </c>
      <c r="B4" s="12" t="s">
        <v>8</v>
      </c>
      <c r="C4" s="17" t="s">
        <v>12</v>
      </c>
      <c r="D4" s="17" t="s">
        <v>13</v>
      </c>
      <c r="E4" s="14" t="s">
        <v>14</v>
      </c>
      <c r="F4" s="18">
        <v>4</v>
      </c>
      <c r="G4" s="16" t="e">
        <f>VLOOKUP(C4,[1]物料下单2024!$B$1:$H$65536,7,FALSE)</f>
        <v>#N/A</v>
      </c>
    </row>
    <row r="5" s="1" customFormat="1" ht="27" spans="1:7">
      <c r="A5" s="11">
        <v>2</v>
      </c>
      <c r="B5" s="12" t="s">
        <v>8</v>
      </c>
      <c r="C5" s="17" t="s">
        <v>15</v>
      </c>
      <c r="D5" s="17" t="s">
        <v>16</v>
      </c>
      <c r="E5" s="14" t="s">
        <v>17</v>
      </c>
      <c r="F5" s="18">
        <v>12</v>
      </c>
      <c r="G5" s="16">
        <f>VLOOKUP(C5,[1]物料下单2024!$B$1:$H$65536,7,FALSE)</f>
        <v>10000</v>
      </c>
    </row>
    <row r="6" s="1" customFormat="1" ht="40.5" spans="1:7">
      <c r="A6" s="11">
        <v>3</v>
      </c>
      <c r="B6" s="12" t="s">
        <v>8</v>
      </c>
      <c r="C6" s="17" t="s">
        <v>18</v>
      </c>
      <c r="D6" s="17" t="s">
        <v>19</v>
      </c>
      <c r="E6" s="14" t="s">
        <v>20</v>
      </c>
      <c r="F6" s="18">
        <v>24</v>
      </c>
      <c r="G6" s="16">
        <f>VLOOKUP(C6,[1]物料下单2024!$B$1:$H$65536,7,FALSE)</f>
        <v>10000</v>
      </c>
    </row>
    <row r="7" s="1" customFormat="1" spans="1:7">
      <c r="A7" s="11">
        <v>4</v>
      </c>
      <c r="B7" s="12" t="s">
        <v>8</v>
      </c>
      <c r="C7" s="17" t="s">
        <v>21</v>
      </c>
      <c r="D7" s="17" t="s">
        <v>22</v>
      </c>
      <c r="E7" s="14" t="s">
        <v>23</v>
      </c>
      <c r="F7" s="18">
        <v>1</v>
      </c>
      <c r="G7" s="16" t="e">
        <f>VLOOKUP(C7,[1]物料下单2024!$B$1:$H$65536,7,FALSE)</f>
        <v>#N/A</v>
      </c>
    </row>
    <row r="8" s="1" customFormat="1" spans="1:7">
      <c r="A8" s="11">
        <v>4</v>
      </c>
      <c r="B8" s="12" t="s">
        <v>8</v>
      </c>
      <c r="C8" s="17" t="s">
        <v>24</v>
      </c>
      <c r="D8" s="17" t="s">
        <v>25</v>
      </c>
      <c r="E8" s="14" t="s">
        <v>26</v>
      </c>
      <c r="F8" s="18">
        <v>5</v>
      </c>
      <c r="G8" s="16">
        <f>VLOOKUP(C8,[1]物料下单2024!$B$1:$H$65536,7,FALSE)</f>
        <v>10000</v>
      </c>
    </row>
    <row r="9" s="1" customFormat="1" ht="71" customHeight="1" spans="1:7">
      <c r="A9" s="11">
        <v>5</v>
      </c>
      <c r="B9" s="12" t="s">
        <v>8</v>
      </c>
      <c r="C9" s="13" t="s">
        <v>27</v>
      </c>
      <c r="D9" s="17" t="s">
        <v>28</v>
      </c>
      <c r="E9" s="14" t="s">
        <v>29</v>
      </c>
      <c r="F9" s="18">
        <v>41</v>
      </c>
      <c r="G9" s="16">
        <f>VLOOKUP(C9,[1]物料下单2024!$B$1:$H$65536,7,FALSE)</f>
        <v>20000</v>
      </c>
    </row>
    <row r="10" s="1" customFormat="1" spans="1:7">
      <c r="A10" s="11">
        <v>7</v>
      </c>
      <c r="B10" s="12" t="s">
        <v>8</v>
      </c>
      <c r="C10" s="13" t="s">
        <v>30</v>
      </c>
      <c r="D10" s="14" t="s">
        <v>31</v>
      </c>
      <c r="E10" s="19" t="s">
        <v>32</v>
      </c>
      <c r="F10" s="11">
        <v>6</v>
      </c>
      <c r="G10" s="16">
        <f>VLOOKUP(C10,[1]物料下单2024!$B$1:$H$65536,7,FALSE)</f>
        <v>10000</v>
      </c>
    </row>
    <row r="11" s="1" customFormat="1" spans="1:7">
      <c r="A11" s="11">
        <v>8</v>
      </c>
      <c r="B11" s="12" t="s">
        <v>8</v>
      </c>
      <c r="C11" s="17" t="s">
        <v>33</v>
      </c>
      <c r="D11" s="17" t="s">
        <v>34</v>
      </c>
      <c r="E11" s="14" t="s">
        <v>35</v>
      </c>
      <c r="F11" s="18">
        <v>2</v>
      </c>
      <c r="G11" s="16">
        <f>VLOOKUP(C11,[1]物料下单2024!$B$1:$H$65536,7,FALSE)</f>
        <v>10000</v>
      </c>
    </row>
    <row r="12" s="1" customFormat="1" spans="1:7">
      <c r="A12" s="11">
        <v>9</v>
      </c>
      <c r="B12" s="12" t="s">
        <v>8</v>
      </c>
      <c r="C12" s="19" t="s">
        <v>36</v>
      </c>
      <c r="D12" s="14" t="s">
        <v>37</v>
      </c>
      <c r="E12" s="19" t="s">
        <v>38</v>
      </c>
      <c r="F12" s="11">
        <v>1</v>
      </c>
      <c r="G12" s="16">
        <f>VLOOKUP(C12,[1]物料下单2024!$B$1:$H$65536,7,FALSE)</f>
        <v>10000</v>
      </c>
    </row>
    <row r="13" s="1" customFormat="1" spans="1:7">
      <c r="A13" s="11">
        <v>10</v>
      </c>
      <c r="B13" s="12" t="s">
        <v>8</v>
      </c>
      <c r="C13" s="17" t="s">
        <v>39</v>
      </c>
      <c r="D13" s="17" t="s">
        <v>40</v>
      </c>
      <c r="E13" s="14" t="s">
        <v>41</v>
      </c>
      <c r="F13" s="18">
        <v>1</v>
      </c>
      <c r="G13" s="16">
        <f>VLOOKUP(C13,[1]物料下单2024!$B$1:$H$65536,7,FALSE)</f>
        <v>10000</v>
      </c>
    </row>
    <row r="14" s="1" customFormat="1" ht="24" customHeight="1" spans="1:7">
      <c r="A14" s="11">
        <v>11</v>
      </c>
      <c r="B14" s="12" t="s">
        <v>8</v>
      </c>
      <c r="C14" s="17" t="s">
        <v>42</v>
      </c>
      <c r="D14" s="17" t="s">
        <v>43</v>
      </c>
      <c r="E14" s="14" t="s">
        <v>44</v>
      </c>
      <c r="F14" s="18">
        <v>1</v>
      </c>
      <c r="G14" s="16">
        <f>VLOOKUP(C14,[1]物料下单2024!$B$1:$H$65536,7,FALSE)</f>
        <v>10000</v>
      </c>
    </row>
    <row r="15" s="1" customFormat="1" spans="1:7">
      <c r="A15" s="11">
        <v>12</v>
      </c>
      <c r="B15" s="12" t="s">
        <v>8</v>
      </c>
      <c r="C15" s="17" t="s">
        <v>45</v>
      </c>
      <c r="D15" s="17" t="s">
        <v>46</v>
      </c>
      <c r="E15" s="14" t="s">
        <v>47</v>
      </c>
      <c r="F15" s="18">
        <v>4</v>
      </c>
      <c r="G15" s="16">
        <f>VLOOKUP(C15,[1]物料下单2024!$B$1:$H$65536,7,FALSE)</f>
        <v>10000</v>
      </c>
    </row>
    <row r="16" s="1" customFormat="1" spans="1:7">
      <c r="A16" s="11">
        <v>13</v>
      </c>
      <c r="B16" s="12" t="s">
        <v>8</v>
      </c>
      <c r="C16" s="19" t="s">
        <v>48</v>
      </c>
      <c r="D16" s="14" t="s">
        <v>49</v>
      </c>
      <c r="E16" s="19" t="s">
        <v>50</v>
      </c>
      <c r="F16" s="11">
        <v>3</v>
      </c>
      <c r="G16" s="16">
        <f>VLOOKUP(C16,[1]物料下单2024!$B$1:$H$65536,7,FALSE)</f>
        <v>10000</v>
      </c>
    </row>
    <row r="17" s="1" customFormat="1" ht="22" customHeight="1" spans="1:7">
      <c r="A17" s="11">
        <v>14</v>
      </c>
      <c r="B17" s="12" t="s">
        <v>8</v>
      </c>
      <c r="C17" s="17" t="s">
        <v>51</v>
      </c>
      <c r="D17" s="17" t="s">
        <v>52</v>
      </c>
      <c r="E17" s="14" t="s">
        <v>53</v>
      </c>
      <c r="F17" s="18">
        <v>2</v>
      </c>
      <c r="G17" s="16">
        <f>VLOOKUP(C17,[1]物料下单2024!$B$1:$H$65536,7,FALSE)</f>
        <v>10000</v>
      </c>
    </row>
    <row r="18" s="1" customFormat="1" spans="1:7">
      <c r="A18" s="11">
        <v>15</v>
      </c>
      <c r="B18" s="12" t="s">
        <v>54</v>
      </c>
      <c r="C18" s="17" t="s">
        <v>55</v>
      </c>
      <c r="D18" s="17" t="s">
        <v>56</v>
      </c>
      <c r="E18" s="14" t="s">
        <v>57</v>
      </c>
      <c r="F18" s="18">
        <v>9</v>
      </c>
      <c r="G18" s="16">
        <f>VLOOKUP(C18,[1]物料下单2024!$B$1:$H$65536,7,FALSE)</f>
        <v>10000</v>
      </c>
    </row>
    <row r="19" s="1" customFormat="1" spans="1:7">
      <c r="A19" s="11">
        <v>15</v>
      </c>
      <c r="B19" s="12" t="s">
        <v>54</v>
      </c>
      <c r="C19" s="17" t="s">
        <v>58</v>
      </c>
      <c r="D19" s="17" t="s">
        <v>59</v>
      </c>
      <c r="E19" s="14" t="s">
        <v>60</v>
      </c>
      <c r="F19" s="18">
        <v>3</v>
      </c>
      <c r="G19" s="16" t="e">
        <f>VLOOKUP(C19,[1]物料下单2024!$B$1:$H$65536,7,FALSE)</f>
        <v>#N/A</v>
      </c>
    </row>
    <row r="20" s="1" customFormat="1" spans="1:7">
      <c r="A20" s="11">
        <v>16</v>
      </c>
      <c r="B20" s="12" t="s">
        <v>54</v>
      </c>
      <c r="C20" s="17" t="s">
        <v>61</v>
      </c>
      <c r="D20" s="17" t="s">
        <v>62</v>
      </c>
      <c r="E20" s="14" t="s">
        <v>63</v>
      </c>
      <c r="F20" s="18">
        <v>5</v>
      </c>
      <c r="G20" s="16">
        <f>VLOOKUP(C20,[1]物料下单2024!$B$1:$H$65536,7,FALSE)</f>
        <v>10000</v>
      </c>
    </row>
    <row r="21" s="1" customFormat="1" spans="1:7">
      <c r="A21" s="11">
        <v>17</v>
      </c>
      <c r="B21" s="12" t="s">
        <v>54</v>
      </c>
      <c r="C21" s="19" t="s">
        <v>64</v>
      </c>
      <c r="D21" s="14" t="s">
        <v>65</v>
      </c>
      <c r="E21" s="19" t="s">
        <v>66</v>
      </c>
      <c r="F21" s="11">
        <v>3</v>
      </c>
      <c r="G21" s="16">
        <f>VLOOKUP(C21,[1]物料下单2024!$B$1:$H$65536,7,FALSE)</f>
        <v>10000</v>
      </c>
    </row>
    <row r="22" s="1" customFormat="1" spans="1:7">
      <c r="A22" s="11">
        <v>18</v>
      </c>
      <c r="B22" s="12" t="s">
        <v>54</v>
      </c>
      <c r="C22" s="17" t="s">
        <v>67</v>
      </c>
      <c r="D22" s="17" t="s">
        <v>68</v>
      </c>
      <c r="E22" s="14" t="s">
        <v>69</v>
      </c>
      <c r="F22" s="18">
        <v>9</v>
      </c>
      <c r="G22" s="16">
        <f>VLOOKUP(C22,[1]物料下单2024!$B$1:$H$65536,7,FALSE)</f>
        <v>10000</v>
      </c>
    </row>
    <row r="23" s="1" customFormat="1" spans="1:7">
      <c r="A23" s="11">
        <v>19</v>
      </c>
      <c r="B23" s="12" t="s">
        <v>54</v>
      </c>
      <c r="C23" s="17" t="s">
        <v>70</v>
      </c>
      <c r="D23" s="17" t="s">
        <v>71</v>
      </c>
      <c r="E23" s="14" t="s">
        <v>72</v>
      </c>
      <c r="F23" s="18">
        <v>7</v>
      </c>
      <c r="G23" s="16">
        <f>VLOOKUP(C23,[1]物料下单2024!$B$1:$H$65536,7,FALSE)</f>
        <v>10000</v>
      </c>
    </row>
    <row r="24" s="1" customFormat="1" spans="1:7">
      <c r="A24" s="11">
        <v>19</v>
      </c>
      <c r="B24" s="12" t="s">
        <v>54</v>
      </c>
      <c r="C24" s="17" t="s">
        <v>73</v>
      </c>
      <c r="D24" s="17" t="s">
        <v>74</v>
      </c>
      <c r="E24" s="14" t="s">
        <v>75</v>
      </c>
      <c r="F24" s="18">
        <v>2</v>
      </c>
      <c r="G24" s="16">
        <f>VLOOKUP(C24,[1]物料下单2024!$B$1:$H$65536,7,FALSE)</f>
        <v>10000</v>
      </c>
    </row>
    <row r="25" s="1" customFormat="1" ht="67.5" spans="1:7">
      <c r="A25" s="11">
        <v>20</v>
      </c>
      <c r="B25" s="12" t="s">
        <v>54</v>
      </c>
      <c r="C25" s="19" t="s">
        <v>76</v>
      </c>
      <c r="D25" s="14" t="s">
        <v>77</v>
      </c>
      <c r="E25" s="15" t="s">
        <v>78</v>
      </c>
      <c r="F25" s="11">
        <v>32</v>
      </c>
      <c r="G25" s="16">
        <f>VLOOKUP(C25,[1]物料下单2024!$B$1:$H$65536,7,FALSE)</f>
        <v>20000</v>
      </c>
    </row>
    <row r="26" s="1" customFormat="1" spans="1:7">
      <c r="A26" s="11">
        <v>21</v>
      </c>
      <c r="B26" s="12" t="s">
        <v>54</v>
      </c>
      <c r="C26" s="17" t="s">
        <v>79</v>
      </c>
      <c r="D26" s="17" t="s">
        <v>80</v>
      </c>
      <c r="E26" s="14" t="s">
        <v>81</v>
      </c>
      <c r="F26" s="18">
        <v>4</v>
      </c>
      <c r="G26" s="16">
        <f>VLOOKUP(C26,[1]物料下单2024!$B$1:$H$65536,7,FALSE)</f>
        <v>10000</v>
      </c>
    </row>
    <row r="27" s="1" customFormat="1" spans="1:7">
      <c r="A27" s="11">
        <v>22</v>
      </c>
      <c r="B27" s="12" t="s">
        <v>54</v>
      </c>
      <c r="C27" s="17" t="s">
        <v>82</v>
      </c>
      <c r="D27" s="17" t="s">
        <v>83</v>
      </c>
      <c r="E27" s="14" t="s">
        <v>84</v>
      </c>
      <c r="F27" s="18">
        <v>2</v>
      </c>
      <c r="G27" s="16">
        <f>VLOOKUP(C27,[1]物料下单2024!$B$1:$H$65536,7,FALSE)</f>
        <v>4000</v>
      </c>
    </row>
    <row r="28" s="1" customFormat="1" spans="1:7">
      <c r="A28" s="11">
        <v>23</v>
      </c>
      <c r="B28" s="12" t="s">
        <v>54</v>
      </c>
      <c r="C28" s="19" t="s">
        <v>85</v>
      </c>
      <c r="D28" s="14" t="s">
        <v>86</v>
      </c>
      <c r="E28" s="19" t="s">
        <v>87</v>
      </c>
      <c r="F28" s="11">
        <v>5</v>
      </c>
      <c r="G28" s="16">
        <f>VLOOKUP(C28,[1]物料下单2024!$B$1:$H$65536,7,FALSE)</f>
        <v>4000</v>
      </c>
    </row>
    <row r="29" s="1" customFormat="1" spans="1:7">
      <c r="A29" s="11">
        <v>24</v>
      </c>
      <c r="B29" s="12" t="s">
        <v>54</v>
      </c>
      <c r="C29" s="17" t="s">
        <v>88</v>
      </c>
      <c r="D29" s="17" t="s">
        <v>89</v>
      </c>
      <c r="E29" s="14" t="s">
        <v>90</v>
      </c>
      <c r="F29" s="18">
        <v>6</v>
      </c>
      <c r="G29" s="16">
        <f>VLOOKUP(C29,[1]物料下单2024!$B$1:$H$65536,7,FALSE)</f>
        <v>4000</v>
      </c>
    </row>
    <row r="30" s="1" customFormat="1" spans="1:7">
      <c r="A30" s="11">
        <v>25</v>
      </c>
      <c r="B30" s="12" t="s">
        <v>54</v>
      </c>
      <c r="C30" s="17" t="s">
        <v>91</v>
      </c>
      <c r="D30" s="17" t="s">
        <v>92</v>
      </c>
      <c r="E30" s="14" t="s">
        <v>93</v>
      </c>
      <c r="F30" s="18">
        <v>3</v>
      </c>
      <c r="G30" s="16">
        <f>VLOOKUP(C30,[1]物料下单2024!$B$1:$H$65536,7,FALSE)</f>
        <v>2000</v>
      </c>
    </row>
    <row r="31" s="1" customFormat="1" spans="1:7">
      <c r="A31" s="11">
        <v>26</v>
      </c>
      <c r="B31" s="12" t="s">
        <v>54</v>
      </c>
      <c r="C31" s="17" t="s">
        <v>94</v>
      </c>
      <c r="D31" s="17" t="s">
        <v>95</v>
      </c>
      <c r="E31" s="14" t="s">
        <v>96</v>
      </c>
      <c r="F31" s="18">
        <v>2</v>
      </c>
      <c r="G31" s="16">
        <f>VLOOKUP(C31,[1]物料下单2024!$B$1:$H$65536,7,FALSE)</f>
        <v>2000</v>
      </c>
    </row>
    <row r="32" s="1" customFormat="1" spans="1:7">
      <c r="A32" s="11">
        <v>27</v>
      </c>
      <c r="B32" s="12" t="s">
        <v>54</v>
      </c>
      <c r="C32" s="17" t="s">
        <v>97</v>
      </c>
      <c r="D32" s="17" t="s">
        <v>98</v>
      </c>
      <c r="E32" s="14" t="s">
        <v>99</v>
      </c>
      <c r="F32" s="18">
        <v>3</v>
      </c>
      <c r="G32" s="16">
        <f>VLOOKUP(C32,[1]物料下单2024!$B$1:$H$65536,7,FALSE)</f>
        <v>2000</v>
      </c>
    </row>
    <row r="33" s="1" customFormat="1" spans="1:7">
      <c r="A33" s="11">
        <v>28</v>
      </c>
      <c r="B33" s="12" t="s">
        <v>100</v>
      </c>
      <c r="C33" s="17" t="s">
        <v>101</v>
      </c>
      <c r="D33" s="17" t="s">
        <v>102</v>
      </c>
      <c r="E33" s="14" t="s">
        <v>103</v>
      </c>
      <c r="F33" s="18">
        <v>1</v>
      </c>
      <c r="G33" s="16">
        <f>VLOOKUP(C33,[1]物料下单2024!$B$1:$H$65536,7,FALSE)</f>
        <v>1000</v>
      </c>
    </row>
    <row r="34" s="1" customFormat="1" spans="1:7">
      <c r="A34" s="11">
        <v>29</v>
      </c>
      <c r="B34" s="12" t="s">
        <v>104</v>
      </c>
      <c r="C34" s="17" t="s">
        <v>105</v>
      </c>
      <c r="D34" s="17" t="s">
        <v>106</v>
      </c>
      <c r="E34" s="14" t="s">
        <v>107</v>
      </c>
      <c r="F34" s="18">
        <v>9</v>
      </c>
      <c r="G34" s="16" t="e">
        <f>VLOOKUP(C34,[1]物料下单2024!$B$1:$H$65536,7,FALSE)</f>
        <v>#N/A</v>
      </c>
    </row>
    <row r="35" s="1" customFormat="1" spans="1:7">
      <c r="A35" s="11">
        <v>30</v>
      </c>
      <c r="B35" s="12" t="s">
        <v>108</v>
      </c>
      <c r="C35" s="17" t="s">
        <v>109</v>
      </c>
      <c r="D35" s="17" t="s">
        <v>110</v>
      </c>
      <c r="E35" s="14" t="s">
        <v>111</v>
      </c>
      <c r="F35" s="18">
        <v>1</v>
      </c>
      <c r="G35" s="16" t="e">
        <f>VLOOKUP(C35,[1]物料下单2024!$B$1:$H$65536,7,FALSE)</f>
        <v>#N/A</v>
      </c>
    </row>
    <row r="36" s="1" customFormat="1" spans="1:7">
      <c r="A36" s="11">
        <v>31</v>
      </c>
      <c r="B36" s="12" t="s">
        <v>112</v>
      </c>
      <c r="C36" s="17" t="s">
        <v>113</v>
      </c>
      <c r="D36" s="17" t="s">
        <v>114</v>
      </c>
      <c r="E36" s="14" t="s">
        <v>115</v>
      </c>
      <c r="F36" s="18">
        <v>1</v>
      </c>
      <c r="G36" s="16">
        <f>VLOOKUP(C36,[1]物料下单2024!$B$1:$H$65536,7,FALSE)</f>
        <v>3000</v>
      </c>
    </row>
    <row r="37" s="1" customFormat="1" spans="1:7">
      <c r="A37" s="11">
        <v>32</v>
      </c>
      <c r="B37" s="12" t="s">
        <v>112</v>
      </c>
      <c r="C37" s="17" t="s">
        <v>116</v>
      </c>
      <c r="D37" s="17">
        <v>3206120001</v>
      </c>
      <c r="E37" s="14" t="s">
        <v>117</v>
      </c>
      <c r="F37" s="18">
        <v>1</v>
      </c>
      <c r="G37" s="16">
        <f>VLOOKUP(C37,[1]物料下单2024!$B$1:$H$65536,7,FALSE)</f>
        <v>4000</v>
      </c>
    </row>
    <row r="38" s="1" customFormat="1" spans="1:7">
      <c r="A38" s="11">
        <v>33</v>
      </c>
      <c r="B38" s="12" t="s">
        <v>112</v>
      </c>
      <c r="C38" s="17" t="s">
        <v>118</v>
      </c>
      <c r="D38" s="17" t="s">
        <v>119</v>
      </c>
      <c r="E38" s="14" t="s">
        <v>120</v>
      </c>
      <c r="F38" s="18">
        <v>1</v>
      </c>
      <c r="G38" s="16">
        <f>VLOOKUP(C38,[1]物料下单2024!$B$1:$H$65536,7,FALSE)</f>
        <v>3000</v>
      </c>
    </row>
    <row r="39" s="1" customFormat="1" spans="1:7">
      <c r="A39" s="11">
        <v>34</v>
      </c>
      <c r="B39" s="12" t="s">
        <v>121</v>
      </c>
      <c r="C39" s="17" t="s">
        <v>122</v>
      </c>
      <c r="D39" s="17" t="s">
        <v>123</v>
      </c>
      <c r="E39" s="14" t="s">
        <v>124</v>
      </c>
      <c r="F39" s="18">
        <v>1</v>
      </c>
      <c r="G39" s="16">
        <f>VLOOKUP(C39,[1]物料下单2024!$B$1:$H$65536,7,FALSE)</f>
        <v>3000</v>
      </c>
    </row>
    <row r="40" s="1" customFormat="1" spans="1:7">
      <c r="A40" s="11">
        <v>35</v>
      </c>
      <c r="B40" s="12" t="s">
        <v>125</v>
      </c>
      <c r="C40" s="17" t="s">
        <v>126</v>
      </c>
      <c r="D40" s="17" t="s">
        <v>127</v>
      </c>
      <c r="E40" s="14" t="s">
        <v>128</v>
      </c>
      <c r="F40" s="18">
        <v>1</v>
      </c>
      <c r="G40" s="16" t="e">
        <f>VLOOKUP(C40,[1]物料下单2024!$B$1:$H$65536,7,FALSE)</f>
        <v>#N/A</v>
      </c>
    </row>
    <row r="41" s="1" customFormat="1" spans="1:7">
      <c r="A41" s="11">
        <v>36</v>
      </c>
      <c r="B41" s="12" t="s">
        <v>125</v>
      </c>
      <c r="C41" s="17" t="s">
        <v>129</v>
      </c>
      <c r="D41" s="17" t="s">
        <v>130</v>
      </c>
      <c r="E41" s="14" t="s">
        <v>131</v>
      </c>
      <c r="F41" s="18">
        <v>1</v>
      </c>
      <c r="G41" s="16">
        <f>VLOOKUP(C41,[1]物料下单2024!$B$1:$H$65536,7,FALSE)</f>
        <v>750</v>
      </c>
    </row>
    <row r="42" s="1" customFormat="1" spans="1:7">
      <c r="A42" s="11">
        <v>37</v>
      </c>
      <c r="B42" s="12" t="s">
        <v>125</v>
      </c>
      <c r="C42" s="17" t="s">
        <v>132</v>
      </c>
      <c r="D42" s="17" t="s">
        <v>133</v>
      </c>
      <c r="E42" s="14" t="s">
        <v>134</v>
      </c>
      <c r="F42" s="18">
        <v>1</v>
      </c>
      <c r="G42" s="16">
        <f>VLOOKUP(C42,[1]物料下单2024!$B$1:$H$65536,7,FALSE)</f>
        <v>3000</v>
      </c>
    </row>
    <row r="43" s="1" customFormat="1" spans="1:7">
      <c r="A43" s="11">
        <v>38</v>
      </c>
      <c r="B43" s="12" t="s">
        <v>125</v>
      </c>
      <c r="C43" s="17" t="s">
        <v>135</v>
      </c>
      <c r="D43" s="17" t="s">
        <v>136</v>
      </c>
      <c r="E43" s="14" t="s">
        <v>137</v>
      </c>
      <c r="F43" s="18">
        <v>3</v>
      </c>
      <c r="G43" s="16">
        <f>VLOOKUP(C43,[1]物料下单2024!$B$1:$H$65536,7,FALSE)</f>
        <v>3000</v>
      </c>
    </row>
    <row r="44" s="1" customFormat="1" ht="27" spans="1:7">
      <c r="A44" s="11">
        <v>39</v>
      </c>
      <c r="B44" s="12" t="s">
        <v>125</v>
      </c>
      <c r="C44" s="17" t="s">
        <v>138</v>
      </c>
      <c r="D44" s="17" t="s">
        <v>139</v>
      </c>
      <c r="E44" s="14" t="s">
        <v>140</v>
      </c>
      <c r="F44" s="18">
        <v>11</v>
      </c>
      <c r="G44" s="16">
        <f>VLOOKUP(C44,[1]物料下单2024!$B$1:$H$65536,7,FALSE)</f>
        <v>20000</v>
      </c>
    </row>
    <row r="45" s="1" customFormat="1" spans="1:7">
      <c r="A45" s="11">
        <v>40</v>
      </c>
      <c r="B45" s="12" t="s">
        <v>141</v>
      </c>
      <c r="C45" s="17" t="s">
        <v>142</v>
      </c>
      <c r="D45" s="17" t="s">
        <v>143</v>
      </c>
      <c r="E45" s="14" t="s">
        <v>144</v>
      </c>
      <c r="F45" s="18">
        <v>10</v>
      </c>
      <c r="G45" s="16" t="e">
        <f>VLOOKUP(C45,[1]物料下单2024!$B$1:$H$65536,7,FALSE)</f>
        <v>#N/A</v>
      </c>
    </row>
    <row r="46" s="1" customFormat="1" spans="1:7">
      <c r="A46" s="11">
        <v>41</v>
      </c>
      <c r="B46" s="12" t="s">
        <v>141</v>
      </c>
      <c r="C46" s="17" t="s">
        <v>145</v>
      </c>
      <c r="D46" s="17" t="s">
        <v>146</v>
      </c>
      <c r="E46" s="14" t="s">
        <v>147</v>
      </c>
      <c r="F46" s="18">
        <v>1</v>
      </c>
      <c r="G46" s="16" t="e">
        <f>VLOOKUP(C46,[1]物料下单2024!$B$1:$H$65536,7,FALSE)</f>
        <v>#N/A</v>
      </c>
    </row>
    <row r="47" s="1" customFormat="1" spans="1:7">
      <c r="A47" s="11">
        <v>42</v>
      </c>
      <c r="B47" s="12" t="s">
        <v>141</v>
      </c>
      <c r="C47" s="17" t="s">
        <v>148</v>
      </c>
      <c r="D47" s="17" t="s">
        <v>149</v>
      </c>
      <c r="E47" s="14" t="s">
        <v>150</v>
      </c>
      <c r="F47" s="18">
        <v>3</v>
      </c>
      <c r="G47" s="16" t="e">
        <f>VLOOKUP(C47,[1]物料下单2024!$B$1:$H$65536,7,FALSE)</f>
        <v>#N/A</v>
      </c>
    </row>
    <row r="48" s="1" customFormat="1" spans="1:7">
      <c r="A48" s="11">
        <v>43</v>
      </c>
      <c r="B48" s="12" t="s">
        <v>141</v>
      </c>
      <c r="C48" s="17" t="s">
        <v>151</v>
      </c>
      <c r="D48" s="17" t="s">
        <v>152</v>
      </c>
      <c r="E48" s="14" t="s">
        <v>153</v>
      </c>
      <c r="F48" s="18">
        <v>3</v>
      </c>
      <c r="G48" s="16">
        <f>VLOOKUP(C48,[1]物料下单2024!$B$1:$H$65536,7,FALSE)</f>
        <v>3000</v>
      </c>
    </row>
    <row r="49" s="1" customFormat="1" spans="1:7">
      <c r="A49" s="11">
        <v>44</v>
      </c>
      <c r="B49" s="12" t="s">
        <v>154</v>
      </c>
      <c r="C49" s="17" t="s">
        <v>155</v>
      </c>
      <c r="D49" s="17" t="s">
        <v>156</v>
      </c>
      <c r="E49" s="14" t="s">
        <v>157</v>
      </c>
      <c r="F49" s="18">
        <v>3</v>
      </c>
      <c r="G49" s="16" t="e">
        <f>VLOOKUP(C49,[1]物料下单2024!$B$1:$H$65536,7,FALSE)</f>
        <v>#N/A</v>
      </c>
    </row>
    <row r="50" s="1" customFormat="1" spans="1:7">
      <c r="A50" s="11">
        <v>45</v>
      </c>
      <c r="B50" s="12" t="s">
        <v>154</v>
      </c>
      <c r="C50" s="17" t="s">
        <v>158</v>
      </c>
      <c r="D50" s="17" t="s">
        <v>159</v>
      </c>
      <c r="E50" s="14" t="s">
        <v>160</v>
      </c>
      <c r="F50" s="18">
        <v>10</v>
      </c>
      <c r="G50" s="16" t="e">
        <f>VLOOKUP(C50,[1]物料下单2024!$B$1:$H$65536,7,FALSE)</f>
        <v>#N/A</v>
      </c>
    </row>
    <row r="51" s="1" customFormat="1" spans="1:7">
      <c r="A51" s="11">
        <v>46</v>
      </c>
      <c r="B51" s="12" t="s">
        <v>161</v>
      </c>
      <c r="C51" s="17" t="s">
        <v>162</v>
      </c>
      <c r="D51" s="17" t="s">
        <v>163</v>
      </c>
      <c r="E51" s="14" t="s">
        <v>164</v>
      </c>
      <c r="F51" s="18">
        <v>1</v>
      </c>
      <c r="G51" s="16">
        <f>VLOOKUP(C51,[1]物料下单2024!$B$1:$H$65536,7,FALSE)</f>
        <v>3000</v>
      </c>
    </row>
    <row r="52" s="1" customFormat="1" spans="1:7">
      <c r="A52" s="11">
        <v>47</v>
      </c>
      <c r="B52" s="12" t="s">
        <v>165</v>
      </c>
      <c r="C52" s="17" t="s">
        <v>166</v>
      </c>
      <c r="D52" s="17" t="s">
        <v>167</v>
      </c>
      <c r="E52" s="14" t="s">
        <v>168</v>
      </c>
      <c r="F52" s="18">
        <v>1</v>
      </c>
      <c r="G52" s="16" t="e">
        <f>VLOOKUP(C52,[1]物料下单2024!$B$1:$H$65536,7,FALSE)</f>
        <v>#N/A</v>
      </c>
    </row>
    <row r="53" s="1" customFormat="1" spans="1:7">
      <c r="A53" s="11">
        <v>48</v>
      </c>
      <c r="B53" s="12" t="s">
        <v>165</v>
      </c>
      <c r="C53" s="17" t="s">
        <v>169</v>
      </c>
      <c r="D53" s="17" t="s">
        <v>170</v>
      </c>
      <c r="E53" s="14" t="s">
        <v>171</v>
      </c>
      <c r="F53" s="18">
        <v>4</v>
      </c>
      <c r="G53" s="16" t="e">
        <f>VLOOKUP(C53,[1]物料下单2024!$B$1:$H$65536,7,FALSE)</f>
        <v>#N/A</v>
      </c>
    </row>
    <row r="54" s="1" customFormat="1" spans="1:7">
      <c r="A54" s="11">
        <v>49</v>
      </c>
      <c r="B54" s="20" t="s">
        <v>165</v>
      </c>
      <c r="C54" s="17" t="s">
        <v>172</v>
      </c>
      <c r="D54" s="17" t="s">
        <v>173</v>
      </c>
      <c r="E54" s="14" t="s">
        <v>174</v>
      </c>
      <c r="F54" s="18">
        <v>1</v>
      </c>
      <c r="G54" s="16" t="e">
        <f>VLOOKUP(C54,[1]物料下单2024!$B$1:$H$65536,7,FALSE)</f>
        <v>#N/A</v>
      </c>
    </row>
    <row r="55" s="1" customFormat="1" spans="1:7">
      <c r="A55" s="11">
        <v>50</v>
      </c>
      <c r="B55" s="12" t="s">
        <v>175</v>
      </c>
      <c r="C55" s="17" t="s">
        <v>176</v>
      </c>
      <c r="D55" s="17" t="s">
        <v>177</v>
      </c>
      <c r="E55" s="14" t="s">
        <v>178</v>
      </c>
      <c r="F55" s="18">
        <v>1</v>
      </c>
      <c r="G55" s="16" t="e">
        <f>VLOOKUP(C55,[1]物料下单2024!$B$1:$H$65536,7,FALSE)</f>
        <v>#N/A</v>
      </c>
    </row>
    <row r="56" s="1" customFormat="1" spans="1:7">
      <c r="A56" s="11">
        <v>51</v>
      </c>
      <c r="B56" s="12" t="s">
        <v>179</v>
      </c>
      <c r="C56" s="17" t="s">
        <v>180</v>
      </c>
      <c r="D56" s="17" t="s">
        <v>181</v>
      </c>
      <c r="E56" s="14" t="s">
        <v>182</v>
      </c>
      <c r="F56" s="18">
        <v>1</v>
      </c>
      <c r="G56" s="16" t="e">
        <f>VLOOKUP(C56,[1]物料下单2024!$B$1:$H$65536,7,FALSE)</f>
        <v>#N/A</v>
      </c>
    </row>
    <row r="57" s="1" customFormat="1" spans="1:7">
      <c r="A57" s="11"/>
      <c r="B57" s="12" t="s">
        <v>179</v>
      </c>
      <c r="C57" s="17" t="s">
        <v>183</v>
      </c>
      <c r="D57" s="17" t="s">
        <v>184</v>
      </c>
      <c r="E57" s="14" t="s">
        <v>185</v>
      </c>
      <c r="F57" s="18">
        <v>2</v>
      </c>
      <c r="G57" s="16"/>
    </row>
    <row r="58" s="1" customFormat="1" spans="1:7">
      <c r="A58" s="11">
        <v>52</v>
      </c>
      <c r="B58" s="12" t="s">
        <v>179</v>
      </c>
      <c r="C58" s="17" t="s">
        <v>186</v>
      </c>
      <c r="D58" s="17" t="s">
        <v>187</v>
      </c>
      <c r="E58" s="14" t="s">
        <v>188</v>
      </c>
      <c r="F58" s="18">
        <v>2</v>
      </c>
      <c r="G58" s="16" t="e">
        <f>VLOOKUP(C58,[1]物料下单2024!$B$1:$H$65536,7,FALSE)</f>
        <v>#N/A</v>
      </c>
    </row>
    <row r="59" s="1" customFormat="1" spans="1:7">
      <c r="A59" s="11">
        <v>53</v>
      </c>
      <c r="B59" s="12" t="s">
        <v>179</v>
      </c>
      <c r="C59" s="13" t="s">
        <v>189</v>
      </c>
      <c r="D59" s="14" t="s">
        <v>190</v>
      </c>
      <c r="E59" s="19" t="s">
        <v>191</v>
      </c>
      <c r="F59" s="11">
        <v>1</v>
      </c>
      <c r="G59" s="16" t="e">
        <f>VLOOKUP(C59,[1]物料下单2024!$B$1:$H$65536,7,FALSE)</f>
        <v>#N/A</v>
      </c>
    </row>
    <row r="60" s="1" customFormat="1" spans="1:7">
      <c r="A60" s="11">
        <v>54</v>
      </c>
      <c r="B60" s="12" t="s">
        <v>179</v>
      </c>
      <c r="C60" s="17" t="s">
        <v>192</v>
      </c>
      <c r="D60" s="17" t="s">
        <v>193</v>
      </c>
      <c r="E60" s="14" t="s">
        <v>194</v>
      </c>
      <c r="F60" s="18">
        <v>1</v>
      </c>
      <c r="G60" s="16">
        <v>450</v>
      </c>
    </row>
    <row r="61" s="1" customFormat="1" spans="1:7">
      <c r="A61" s="11">
        <v>55</v>
      </c>
      <c r="B61" s="12" t="s">
        <v>179</v>
      </c>
      <c r="C61" s="17" t="s">
        <v>195</v>
      </c>
      <c r="D61" s="17" t="s">
        <v>196</v>
      </c>
      <c r="E61" s="14" t="s">
        <v>197</v>
      </c>
      <c r="F61" s="18">
        <v>1</v>
      </c>
      <c r="G61" s="16">
        <v>472</v>
      </c>
    </row>
    <row r="62" s="1" customFormat="1" spans="1:7">
      <c r="A62" s="11"/>
      <c r="B62" s="12" t="s">
        <v>179</v>
      </c>
      <c r="C62" s="17" t="s">
        <v>198</v>
      </c>
      <c r="D62" s="17" t="s">
        <v>199</v>
      </c>
      <c r="E62" s="14" t="s">
        <v>200</v>
      </c>
      <c r="F62" s="18">
        <v>1</v>
      </c>
      <c r="G62" s="16"/>
    </row>
    <row r="63" s="1" customFormat="1" spans="1:7">
      <c r="A63" s="11">
        <v>56</v>
      </c>
      <c r="B63" s="12" t="s">
        <v>179</v>
      </c>
      <c r="C63" s="17" t="s">
        <v>201</v>
      </c>
      <c r="D63" s="17" t="s">
        <v>202</v>
      </c>
      <c r="E63" s="14" t="s">
        <v>203</v>
      </c>
      <c r="F63" s="18">
        <v>1</v>
      </c>
      <c r="G63" s="16">
        <v>460</v>
      </c>
    </row>
    <row r="64" s="1" customFormat="1" spans="1:7">
      <c r="A64" s="11">
        <v>57</v>
      </c>
      <c r="B64" s="12" t="s">
        <v>179</v>
      </c>
      <c r="C64" s="17" t="s">
        <v>204</v>
      </c>
      <c r="D64" s="17" t="s">
        <v>205</v>
      </c>
      <c r="E64" s="14" t="s">
        <v>206</v>
      </c>
      <c r="F64" s="18">
        <v>1</v>
      </c>
      <c r="G64" s="16">
        <v>540</v>
      </c>
    </row>
    <row r="65" s="1" customFormat="1" spans="1:7">
      <c r="A65" s="11">
        <v>58</v>
      </c>
      <c r="B65" s="12" t="s">
        <v>207</v>
      </c>
      <c r="C65" s="17" t="s">
        <v>208</v>
      </c>
      <c r="D65" s="17"/>
      <c r="E65" s="14" t="s">
        <v>209</v>
      </c>
      <c r="F65" s="18">
        <v>1</v>
      </c>
      <c r="G65" s="16">
        <f>VLOOKUP(C65,[1]物料下单2024!$B$1:$H$65536,7,FALSE)</f>
        <v>1000</v>
      </c>
    </row>
    <row r="66" s="1" customFormat="1" spans="1:7">
      <c r="A66" s="11">
        <v>59</v>
      </c>
      <c r="B66" s="12" t="s">
        <v>207</v>
      </c>
      <c r="C66" s="17" t="s">
        <v>210</v>
      </c>
      <c r="D66" s="17"/>
      <c r="E66" s="14" t="s">
        <v>211</v>
      </c>
      <c r="F66" s="18">
        <v>1</v>
      </c>
      <c r="G66" s="16">
        <f>VLOOKUP(C66,[1]物料下单2024!$B$1:$H$65536,7,FALSE)</f>
        <v>1000</v>
      </c>
    </row>
    <row r="67" s="1" customFormat="1" spans="1:7">
      <c r="A67" s="11">
        <v>60</v>
      </c>
      <c r="B67" s="12" t="s">
        <v>207</v>
      </c>
      <c r="C67" s="17" t="s">
        <v>212</v>
      </c>
      <c r="D67" s="17"/>
      <c r="E67" s="14" t="s">
        <v>213</v>
      </c>
      <c r="F67" s="18">
        <v>1</v>
      </c>
      <c r="G67" s="16">
        <f>VLOOKUP(C67,[1]物料下单2024!$B$1:$H$65536,7,FALSE)</f>
        <v>1000</v>
      </c>
    </row>
    <row r="68" s="1" customFormat="1" spans="1:7">
      <c r="A68" s="11">
        <v>61</v>
      </c>
      <c r="B68" s="12" t="s">
        <v>207</v>
      </c>
      <c r="C68" s="21" t="s">
        <v>214</v>
      </c>
      <c r="D68" s="17"/>
      <c r="E68" s="14" t="s">
        <v>215</v>
      </c>
      <c r="F68" s="18">
        <v>4</v>
      </c>
      <c r="G68" s="16">
        <f>VLOOKUP(C68,[1]物料下单2024!$B$1:$H$65536,7,FALSE)</f>
        <v>4500</v>
      </c>
    </row>
    <row r="69" s="1" customFormat="1" ht="40.5" spans="1:7">
      <c r="A69" s="11">
        <v>62</v>
      </c>
      <c r="B69" s="12" t="s">
        <v>216</v>
      </c>
      <c r="C69" s="22" t="s">
        <v>217</v>
      </c>
      <c r="D69" s="17" t="s">
        <v>218</v>
      </c>
      <c r="E69" s="14"/>
      <c r="F69" s="18">
        <v>1</v>
      </c>
      <c r="G69" s="16">
        <v>460</v>
      </c>
    </row>
    <row r="70" s="1" customFormat="1" spans="1:7">
      <c r="A70" s="11">
        <v>64</v>
      </c>
      <c r="B70" s="12" t="s">
        <v>207</v>
      </c>
      <c r="C70" s="17" t="s">
        <v>219</v>
      </c>
      <c r="D70" s="17"/>
      <c r="E70" s="14" t="s">
        <v>220</v>
      </c>
      <c r="F70" s="18">
        <v>1</v>
      </c>
      <c r="G70" s="16">
        <f>VLOOKUP(C70,[1]物料下单2024!$B$1:$H$65536,7,FALSE)</f>
        <v>1000</v>
      </c>
    </row>
    <row r="71" s="1" customFormat="1" spans="1:7">
      <c r="A71" s="11">
        <v>65</v>
      </c>
      <c r="B71" s="12" t="s">
        <v>207</v>
      </c>
      <c r="C71" s="17" t="s">
        <v>221</v>
      </c>
      <c r="D71" s="17"/>
      <c r="E71" s="14" t="s">
        <v>222</v>
      </c>
      <c r="F71" s="18">
        <v>2</v>
      </c>
      <c r="G71" s="16">
        <f>VLOOKUP(C71,[1]物料下单2024!$B$1:$H$65536,7,FALSE)</f>
        <v>1000</v>
      </c>
    </row>
    <row r="72" s="1" customFormat="1" spans="1:7">
      <c r="A72" s="11">
        <v>66</v>
      </c>
      <c r="B72" s="12" t="s">
        <v>207</v>
      </c>
      <c r="C72" s="17" t="s">
        <v>223</v>
      </c>
      <c r="D72" s="17"/>
      <c r="E72" s="14" t="s">
        <v>224</v>
      </c>
      <c r="F72" s="18">
        <v>1</v>
      </c>
      <c r="G72" s="16">
        <f>VLOOKUP(C72,[1]物料下单2024!$B$1:$H$65536,7,FALSE)</f>
        <v>1000</v>
      </c>
    </row>
    <row r="73" s="1" customFormat="1" ht="27" spans="1:7">
      <c r="A73" s="11">
        <v>67</v>
      </c>
      <c r="B73" s="12" t="s">
        <v>207</v>
      </c>
      <c r="C73" s="17" t="s">
        <v>225</v>
      </c>
      <c r="D73" s="14" t="s">
        <v>226</v>
      </c>
      <c r="E73" s="14" t="s">
        <v>227</v>
      </c>
      <c r="F73" s="18">
        <v>1</v>
      </c>
      <c r="G73" s="16">
        <f>VLOOKUP(C73,[1]物料下单2024!$B$1:$H$65536,7,FALSE)</f>
        <v>520</v>
      </c>
    </row>
    <row r="74" s="1" customFormat="1" spans="1:7">
      <c r="A74" s="11">
        <v>68</v>
      </c>
      <c r="B74" s="12" t="s">
        <v>207</v>
      </c>
      <c r="C74" s="17" t="s">
        <v>228</v>
      </c>
      <c r="D74" s="17" t="s">
        <v>229</v>
      </c>
      <c r="E74" s="14" t="s">
        <v>230</v>
      </c>
      <c r="F74" s="18">
        <v>2</v>
      </c>
      <c r="G74" s="16">
        <f>VLOOKUP(C74,[1]物料下单2024!$B$1:$H$65536,7,FALSE)</f>
        <v>1040</v>
      </c>
    </row>
    <row r="75" spans="1:7">
      <c r="A75" s="11">
        <v>69</v>
      </c>
      <c r="B75" s="23" t="s">
        <v>231</v>
      </c>
      <c r="C75" s="24" t="s">
        <v>232</v>
      </c>
      <c r="D75" s="25"/>
      <c r="E75" s="14"/>
      <c r="F75" s="23">
        <v>1</v>
      </c>
      <c r="G75" s="16">
        <f>VLOOKUP(C75,[1]物料下单2024!$B$1:$H$65536,7,FALSE)</f>
        <v>520</v>
      </c>
    </row>
    <row r="76" spans="1:7">
      <c r="A76" s="11">
        <v>70</v>
      </c>
      <c r="B76" s="23" t="s">
        <v>231</v>
      </c>
      <c r="C76" s="24" t="s">
        <v>233</v>
      </c>
      <c r="D76" s="25"/>
      <c r="E76" s="14"/>
      <c r="F76" s="23">
        <v>2</v>
      </c>
      <c r="G76" s="16">
        <f>VLOOKUP(C76,[1]物料下单2024!$B$1:$H$65536,7,FALSE)</f>
        <v>1040</v>
      </c>
    </row>
    <row r="77" spans="1:7">
      <c r="A77" s="11">
        <v>71</v>
      </c>
      <c r="B77" s="23" t="s">
        <v>231</v>
      </c>
      <c r="C77" s="24" t="s">
        <v>234</v>
      </c>
      <c r="D77" s="25"/>
      <c r="E77" s="14"/>
      <c r="F77" s="23">
        <v>4</v>
      </c>
      <c r="G77" s="16">
        <f>VLOOKUP(C77,[1]物料下单2024!$B$1:$H$65536,7,FALSE)</f>
        <v>2080</v>
      </c>
    </row>
    <row r="78" spans="1:7">
      <c r="A78" s="11">
        <v>72</v>
      </c>
      <c r="B78" s="23" t="s">
        <v>235</v>
      </c>
      <c r="C78" s="24" t="s">
        <v>236</v>
      </c>
      <c r="D78" s="25"/>
      <c r="E78" s="14"/>
      <c r="F78" s="23">
        <v>1</v>
      </c>
      <c r="G78" s="16">
        <f>VLOOKUP(C78,[1]物料下单2024!$B$1:$H$65536,7,FALSE)</f>
        <v>520</v>
      </c>
    </row>
    <row r="79" s="2" customFormat="1" spans="1:7">
      <c r="A79" s="11">
        <v>73</v>
      </c>
      <c r="B79" s="23" t="s">
        <v>237</v>
      </c>
      <c r="C79" s="24" t="s">
        <v>238</v>
      </c>
      <c r="D79" s="25"/>
      <c r="E79" s="14"/>
      <c r="F79" s="23">
        <v>1</v>
      </c>
      <c r="G79" s="16" t="e">
        <f>VLOOKUP(C79,[1]物料下单2024!$B$1:$H$65536,7,FALSE)</f>
        <v>#N/A</v>
      </c>
    </row>
    <row r="80" spans="1:7">
      <c r="A80" s="11">
        <v>74</v>
      </c>
      <c r="B80" s="23" t="s">
        <v>239</v>
      </c>
      <c r="C80" s="24" t="s">
        <v>240</v>
      </c>
      <c r="D80" s="25"/>
      <c r="E80" s="14"/>
      <c r="F80" s="23">
        <v>4</v>
      </c>
      <c r="G80" s="16">
        <f>VLOOKUP(C80,[1]物料下单2024!$B$1:$H$65536,7,FALSE)</f>
        <v>10000</v>
      </c>
    </row>
    <row r="81" spans="1:7">
      <c r="A81" s="11">
        <v>75</v>
      </c>
      <c r="B81" s="23" t="s">
        <v>241</v>
      </c>
      <c r="C81" s="24" t="s">
        <v>242</v>
      </c>
      <c r="D81" s="25"/>
      <c r="E81" s="14"/>
      <c r="F81" s="23">
        <v>1</v>
      </c>
      <c r="G81" s="16">
        <f>VLOOKUP(C81,[1]物料下单2024!$B$1:$H$65536,7,FALSE)</f>
        <v>520</v>
      </c>
    </row>
    <row r="82" spans="1:7">
      <c r="A82" s="11">
        <v>76</v>
      </c>
      <c r="B82" s="23" t="s">
        <v>243</v>
      </c>
      <c r="C82" s="24" t="s">
        <v>244</v>
      </c>
      <c r="D82" s="25"/>
      <c r="E82" s="14"/>
      <c r="F82" s="23">
        <v>1</v>
      </c>
      <c r="G82" s="16">
        <f>VLOOKUP(C82,[1]物料下单2024!$B$1:$H$65536,7,FALSE)</f>
        <v>520</v>
      </c>
    </row>
    <row r="83" spans="5:5">
      <c r="E83" s="26"/>
    </row>
  </sheetData>
  <autoFilter ref="A2:G82">
    <extLst/>
  </autoFilter>
  <pageMargins left="0.393055555555556" right="0.275" top="0.354166666666667" bottom="0.275" header="0.3" footer="0.3"/>
  <pageSetup paperSize="9" scale="81" orientation="landscape" horizontalDpi="203" verticalDpi="203"/>
  <headerFooter/>
  <rowBreaks count="2" manualBreakCount="2">
    <brk id="33" max="6" man="1"/>
    <brk id="82"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LENOVO</cp:lastModifiedBy>
  <dcterms:created xsi:type="dcterms:W3CDTF">2023-12-18T11:21:00Z</dcterms:created>
  <dcterms:modified xsi:type="dcterms:W3CDTF">2025-11-27T03:57:08Z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16CD389103034623A9C856535C719E1E</vt:lpwstr>
  </property>
  <property fmtid="{D5CDD505-2E9C-101B-9397-08002B2CF9AE}" pid="3" name="KSOProductBuildVer">
    <vt:lpwstr>2052-11.1.0.13703</vt:lpwstr>
  </property>
</Properties>
</file>